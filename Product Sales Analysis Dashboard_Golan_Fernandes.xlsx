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olan\Desktop\Excel Practice files\"/>
    </mc:Choice>
  </mc:AlternateContent>
  <xr:revisionPtr revIDLastSave="0" documentId="13_ncr:1_{583E5D81-87DF-42A7-9274-AB64E799C3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8" r:id="rId1"/>
    <sheet name="Data" sheetId="1" r:id="rId2"/>
    <sheet name="Data Validation" sheetId="3" r:id="rId3"/>
    <sheet name="Chart Helper" sheetId="9" r:id="rId4"/>
  </sheets>
  <definedNames>
    <definedName name="_xlnm._FilterDatabase" localSheetId="1" hidden="1">Data!$T$2:$T$2</definedName>
    <definedName name="channel">Dashboard!$O$3</definedName>
    <definedName name="city">Dashboard!$F$3</definedName>
    <definedName name="country">Dashboard!$C$3</definedName>
    <definedName name="payment">Dashboard!$R$3</definedName>
    <definedName name="product">Dashboard!$L$3</definedName>
    <definedName name="region">Dashboard!$I$3</definedName>
    <definedName name="saleschann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9" l="1" a="1"/>
  <c r="J2" i="9" s="1"/>
  <c r="K2" i="9" s="1" a="1"/>
  <c r="K2" i="9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E4" i="9" a="1"/>
  <c r="E4" i="9" s="1"/>
  <c r="E3" i="9" a="1"/>
  <c r="E3" i="9" s="1"/>
  <c r="E2" i="9" a="1"/>
  <c r="E2" i="9" s="1"/>
  <c r="H2" i="9" s="1"/>
  <c r="AA2" i="8" a="1"/>
  <c r="AA2" i="8" s="1"/>
  <c r="K7" i="8" a="1"/>
  <c r="K7" i="8" s="1"/>
  <c r="H7" i="8" a="1"/>
  <c r="H7" i="8" s="1"/>
  <c r="E7" i="8" a="1"/>
  <c r="E7" i="8" s="1"/>
  <c r="B7" i="8" a="1"/>
  <c r="B7" i="8" s="1"/>
  <c r="Q3" i="3" a="1"/>
  <c r="Q3" i="3" s="1"/>
  <c r="O3" i="3" a="1"/>
  <c r="O3" i="3" s="1"/>
  <c r="A2" i="9" a="1"/>
  <c r="A2" i="9" s="1"/>
  <c r="B2" i="9" s="1"/>
  <c r="J3" i="3" a="1"/>
  <c r="J3" i="3" s="1"/>
  <c r="H3" i="3" a="1"/>
  <c r="H3" i="3" s="1"/>
  <c r="K5" i="9" l="1" a="1"/>
  <c r="K5" i="9" s="1"/>
  <c r="K4" i="9" a="1"/>
  <c r="K4" i="9" s="1"/>
  <c r="K3" i="9" a="1"/>
  <c r="K3" i="9" s="1"/>
  <c r="H3" i="9"/>
  <c r="B5" i="9"/>
  <c r="B4" i="9"/>
  <c r="B3" i="9"/>
  <c r="M3" i="3" a="1"/>
  <c r="M3" i="3" s="1"/>
  <c r="E3" i="3" a="1"/>
  <c r="N6" i="8" l="1"/>
  <c r="E3" i="3"/>
  <c r="F3" i="3" s="1" a="1"/>
  <c r="F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Golan</author>
  </authors>
  <commentList>
    <comment ref="R6" authorId="0" shapeId="0" xr:uid="{928605A6-1EEA-4383-AFFE-C8F056D0A7AB}">
      <text>
        <r>
          <rPr>
            <b/>
            <sz val="9"/>
            <color indexed="81"/>
            <rFont val="Tahoma"/>
            <charset val="1"/>
          </rPr>
          <t>Golan:</t>
        </r>
        <r>
          <rPr>
            <sz val="9"/>
            <color indexed="81"/>
            <rFont val="Tahoma"/>
            <charset val="1"/>
          </rPr>
          <t xml:space="preserve">
All isnt part of the formula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<sst xmlns="http://schemas.openxmlformats.org/spreadsheetml/2006/main" count="10866" uniqueCount="1801">
  <si>
    <t>Transaction_ID</t>
  </si>
  <si>
    <t>Date</t>
  </si>
  <si>
    <t>Country</t>
  </si>
  <si>
    <t>City</t>
  </si>
  <si>
    <t>Region</t>
  </si>
  <si>
    <t>Customer_ID</t>
  </si>
  <si>
    <t>Salesperson</t>
  </si>
  <si>
    <t>Product</t>
  </si>
  <si>
    <t>Sales_Channel</t>
  </si>
  <si>
    <t>Payment_Method</t>
  </si>
  <si>
    <t>Units_Sold</t>
  </si>
  <si>
    <t>Unit_Price</t>
  </si>
  <si>
    <t>Discount_Rate</t>
  </si>
  <si>
    <t>Cost_per_Unit</t>
  </si>
  <si>
    <t>Revenue</t>
  </si>
  <si>
    <t>Total_Cost</t>
  </si>
  <si>
    <t>Profit</t>
  </si>
  <si>
    <t>Returned</t>
  </si>
  <si>
    <t>2025-01-09</t>
  </si>
  <si>
    <t>2024-08-16</t>
  </si>
  <si>
    <t>2024-04-15</t>
  </si>
  <si>
    <t>2025-08-22</t>
  </si>
  <si>
    <t>2024-10-21</t>
  </si>
  <si>
    <t>2024-12-14</t>
  </si>
  <si>
    <t>2024-10-18</t>
  </si>
  <si>
    <t>2025-02-11</t>
  </si>
  <si>
    <t>2025-11-30</t>
  </si>
  <si>
    <t>2024-09-26</t>
  </si>
  <si>
    <t>2024-04-14</t>
  </si>
  <si>
    <t>2025-04-30</t>
  </si>
  <si>
    <t>2025-12-09</t>
  </si>
  <si>
    <t>2024-12-30</t>
  </si>
  <si>
    <t>2024-01-30</t>
  </si>
  <si>
    <t>2025-04-26</t>
  </si>
  <si>
    <t>2025-05-04</t>
  </si>
  <si>
    <t>2024-06-03</t>
  </si>
  <si>
    <t>2025-03-20</t>
  </si>
  <si>
    <t>2024-03-03</t>
  </si>
  <si>
    <t>2024-06-25</t>
  </si>
  <si>
    <t>2024-04-10</t>
  </si>
  <si>
    <t>2025-12-16</t>
  </si>
  <si>
    <t>2025-11-16</t>
  </si>
  <si>
    <t>2024-06-15</t>
  </si>
  <si>
    <t>2024-12-12</t>
  </si>
  <si>
    <t>2024-07-04</t>
  </si>
  <si>
    <t>2024-10-12</t>
  </si>
  <si>
    <t>2025-04-09</t>
  </si>
  <si>
    <t>2025-10-05</t>
  </si>
  <si>
    <t>2025-06-10</t>
  </si>
  <si>
    <t>2025-02-18</t>
  </si>
  <si>
    <t>2025-09-05</t>
  </si>
  <si>
    <t>2024-09-07</t>
  </si>
  <si>
    <t>2024-09-11</t>
  </si>
  <si>
    <t>2025-06-20</t>
  </si>
  <si>
    <t>2025-10-03</t>
  </si>
  <si>
    <t>2024-09-28</t>
  </si>
  <si>
    <t>2024-03-20</t>
  </si>
  <si>
    <t>2025-04-29</t>
  </si>
  <si>
    <t>2025-01-03</t>
  </si>
  <si>
    <t>2025-11-28</t>
  </si>
  <si>
    <t>2024-10-08</t>
  </si>
  <si>
    <t>2025-03-14</t>
  </si>
  <si>
    <t>2024-06-23</t>
  </si>
  <si>
    <t>2024-05-02</t>
  </si>
  <si>
    <t>2024-04-02</t>
  </si>
  <si>
    <t>2025-01-20</t>
  </si>
  <si>
    <t>2025-01-28</t>
  </si>
  <si>
    <t>2025-02-04</t>
  </si>
  <si>
    <t>2024-01-02</t>
  </si>
  <si>
    <t>2025-06-21</t>
  </si>
  <si>
    <t>2025-07-14</t>
  </si>
  <si>
    <t>2025-01-14</t>
  </si>
  <si>
    <t>2024-07-29</t>
  </si>
  <si>
    <t>2024-07-07</t>
  </si>
  <si>
    <t>2024-11-15</t>
  </si>
  <si>
    <t>2025-07-28</t>
  </si>
  <si>
    <t>2024-07-16</t>
  </si>
  <si>
    <t>2024-09-20</t>
  </si>
  <si>
    <t>2024-01-25</t>
  </si>
  <si>
    <t>2024-01-09</t>
  </si>
  <si>
    <t>2024-09-10</t>
  </si>
  <si>
    <t>2025-03-07</t>
  </si>
  <si>
    <t>2024-10-27</t>
  </si>
  <si>
    <t>2025-08-15</t>
  </si>
  <si>
    <t>2024-08-24</t>
  </si>
  <si>
    <t>2025-06-08</t>
  </si>
  <si>
    <t>2024-09-18</t>
  </si>
  <si>
    <t>2025-07-15</t>
  </si>
  <si>
    <t>2025-11-14</t>
  </si>
  <si>
    <t>2024-01-07</t>
  </si>
  <si>
    <t>2025-10-18</t>
  </si>
  <si>
    <t>2025-01-27</t>
  </si>
  <si>
    <t>2025-10-17</t>
  </si>
  <si>
    <t>2024-09-09</t>
  </si>
  <si>
    <t>2025-08-19</t>
  </si>
  <si>
    <t>2024-08-28</t>
  </si>
  <si>
    <t>2025-05-31</t>
  </si>
  <si>
    <t>2024-07-17</t>
  </si>
  <si>
    <t>2025-04-12</t>
  </si>
  <si>
    <t>2025-11-26</t>
  </si>
  <si>
    <t>2024-09-15</t>
  </si>
  <si>
    <t>2024-10-30</t>
  </si>
  <si>
    <t>2024-02-18</t>
  </si>
  <si>
    <t>2025-06-30</t>
  </si>
  <si>
    <t>2025-12-25</t>
  </si>
  <si>
    <t>2025-09-08</t>
  </si>
  <si>
    <t>2024-01-13</t>
  </si>
  <si>
    <t>2025-01-19</t>
  </si>
  <si>
    <t>2025-12-29</t>
  </si>
  <si>
    <t>2024-07-26</t>
  </si>
  <si>
    <t>2024-01-28</t>
  </si>
  <si>
    <t>2024-12-19</t>
  </si>
  <si>
    <t>2024-11-24</t>
  </si>
  <si>
    <t>2025-08-11</t>
  </si>
  <si>
    <t>2025-05-21</t>
  </si>
  <si>
    <t>2025-05-17</t>
  </si>
  <si>
    <t>2025-11-08</t>
  </si>
  <si>
    <t>2025-12-21</t>
  </si>
  <si>
    <t>2024-06-17</t>
  </si>
  <si>
    <t>2024-10-14</t>
  </si>
  <si>
    <t>2025-11-01</t>
  </si>
  <si>
    <t>2025-02-05</t>
  </si>
  <si>
    <t>2025-08-17</t>
  </si>
  <si>
    <t>2025-10-11</t>
  </si>
  <si>
    <t>2024-09-30</t>
  </si>
  <si>
    <t>2025-05-06</t>
  </si>
  <si>
    <t>2025-06-27</t>
  </si>
  <si>
    <t>2025-04-07</t>
  </si>
  <si>
    <t>2025-11-18</t>
  </si>
  <si>
    <t>2025-12-18</t>
  </si>
  <si>
    <t>2025-01-18</t>
  </si>
  <si>
    <t>2024-05-27</t>
  </si>
  <si>
    <t>2024-10-17</t>
  </si>
  <si>
    <t>2025-06-02</t>
  </si>
  <si>
    <t>2024-02-11</t>
  </si>
  <si>
    <t>2025-05-27</t>
  </si>
  <si>
    <t>2025-01-12</t>
  </si>
  <si>
    <t>2025-05-24</t>
  </si>
  <si>
    <t>2025-05-01</t>
  </si>
  <si>
    <t>2024-03-31</t>
  </si>
  <si>
    <t>2024-03-27</t>
  </si>
  <si>
    <t>2025-10-06</t>
  </si>
  <si>
    <t>2024-06-10</t>
  </si>
  <si>
    <t>2024-07-24</t>
  </si>
  <si>
    <t>2025-07-03</t>
  </si>
  <si>
    <t>2024-06-08</t>
  </si>
  <si>
    <t>2024-10-13</t>
  </si>
  <si>
    <t>2024-02-05</t>
  </si>
  <si>
    <t>2024-07-06</t>
  </si>
  <si>
    <t>2024-09-21</t>
  </si>
  <si>
    <t>2025-04-27</t>
  </si>
  <si>
    <t>2025-04-24</t>
  </si>
  <si>
    <t>2024-12-13</t>
  </si>
  <si>
    <t>2025-03-25</t>
  </si>
  <si>
    <t>2024-08-11</t>
  </si>
  <si>
    <t>2024-06-28</t>
  </si>
  <si>
    <t>2024-12-09</t>
  </si>
  <si>
    <t>2024-02-07</t>
  </si>
  <si>
    <t>2024-10-25</t>
  </si>
  <si>
    <t>2025-02-19</t>
  </si>
  <si>
    <t>2025-02-09</t>
  </si>
  <si>
    <t>2025-11-27</t>
  </si>
  <si>
    <t>2024-08-18</t>
  </si>
  <si>
    <t>2025-09-28</t>
  </si>
  <si>
    <t>2024-05-03</t>
  </si>
  <si>
    <t>2024-10-07</t>
  </si>
  <si>
    <t>2025-04-25</t>
  </si>
  <si>
    <t>2024-11-27</t>
  </si>
  <si>
    <t>2025-03-26</t>
  </si>
  <si>
    <t>2025-11-22</t>
  </si>
  <si>
    <t>2025-06-22</t>
  </si>
  <si>
    <t>2025-08-12</t>
  </si>
  <si>
    <t>2024-11-03</t>
  </si>
  <si>
    <t>2025-11-23</t>
  </si>
  <si>
    <t>2025-05-13</t>
  </si>
  <si>
    <t>2025-11-02</t>
  </si>
  <si>
    <t>2024-12-27</t>
  </si>
  <si>
    <t>2024-07-20</t>
  </si>
  <si>
    <t>2024-12-28</t>
  </si>
  <si>
    <t>2024-11-06</t>
  </si>
  <si>
    <t>2024-03-30</t>
  </si>
  <si>
    <t>2024-06-12</t>
  </si>
  <si>
    <t>2025-11-25</t>
  </si>
  <si>
    <t>2024-10-16</t>
  </si>
  <si>
    <t>2025-03-17</t>
  </si>
  <si>
    <t>2025-03-21</t>
  </si>
  <si>
    <t>2025-06-04</t>
  </si>
  <si>
    <t>2025-07-10</t>
  </si>
  <si>
    <t>2025-11-17</t>
  </si>
  <si>
    <t>2024-12-07</t>
  </si>
  <si>
    <t>2024-02-14</t>
  </si>
  <si>
    <t>2024-10-23</t>
  </si>
  <si>
    <t>2024-01-26</t>
  </si>
  <si>
    <t>2024-11-23</t>
  </si>
  <si>
    <t>2024-02-21</t>
  </si>
  <si>
    <t>2024-04-01</t>
  </si>
  <si>
    <t>2025-08-04</t>
  </si>
  <si>
    <t>2024-03-02</t>
  </si>
  <si>
    <t>2025-12-08</t>
  </si>
  <si>
    <t>2025-06-09</t>
  </si>
  <si>
    <t>2025-07-30</t>
  </si>
  <si>
    <t>2025-04-15</t>
  </si>
  <si>
    <t>2024-02-04</t>
  </si>
  <si>
    <t>2024-07-08</t>
  </si>
  <si>
    <t>2024-02-02</t>
  </si>
  <si>
    <t>2025-01-04</t>
  </si>
  <si>
    <t>2025-01-06</t>
  </si>
  <si>
    <t>2024-11-04</t>
  </si>
  <si>
    <t>2024-03-10</t>
  </si>
  <si>
    <t>2025-04-03</t>
  </si>
  <si>
    <t>2024-05-19</t>
  </si>
  <si>
    <t>2025-09-16</t>
  </si>
  <si>
    <t>2024-01-27</t>
  </si>
  <si>
    <t>2025-01-01</t>
  </si>
  <si>
    <t>2025-10-29</t>
  </si>
  <si>
    <t>2025-09-12</t>
  </si>
  <si>
    <t>2025-02-02</t>
  </si>
  <si>
    <t>2025-02-23</t>
  </si>
  <si>
    <t>2025-10-20</t>
  </si>
  <si>
    <t>2024-09-12</t>
  </si>
  <si>
    <t>2025-12-02</t>
  </si>
  <si>
    <t>2024-08-17</t>
  </si>
  <si>
    <t>2024-01-16</t>
  </si>
  <si>
    <t>2025-10-30</t>
  </si>
  <si>
    <t>2025-01-31</t>
  </si>
  <si>
    <t>2025-09-27</t>
  </si>
  <si>
    <t>2025-06-06</t>
  </si>
  <si>
    <t>2024-03-14</t>
  </si>
  <si>
    <t>2025-12-20</t>
  </si>
  <si>
    <t>2025-12-12</t>
  </si>
  <si>
    <t>2025-09-29</t>
  </si>
  <si>
    <t>2025-07-11</t>
  </si>
  <si>
    <t>2024-10-24</t>
  </si>
  <si>
    <t>2025-08-07</t>
  </si>
  <si>
    <t>2025-08-20</t>
  </si>
  <si>
    <t>2025-06-16</t>
  </si>
  <si>
    <t>2025-03-22</t>
  </si>
  <si>
    <t>2025-08-29</t>
  </si>
  <si>
    <t>2025-09-02</t>
  </si>
  <si>
    <t>2024-07-30</t>
  </si>
  <si>
    <t>2024-02-28</t>
  </si>
  <si>
    <t>2024-07-21</t>
  </si>
  <si>
    <t>2024-07-25</t>
  </si>
  <si>
    <t>2024-04-07</t>
  </si>
  <si>
    <t>2025-03-01</t>
  </si>
  <si>
    <t>2024-09-08</t>
  </si>
  <si>
    <t>2025-07-01</t>
  </si>
  <si>
    <t>2024-02-01</t>
  </si>
  <si>
    <t>2024-11-21</t>
  </si>
  <si>
    <t>2025-12-03</t>
  </si>
  <si>
    <t>2024-04-04</t>
  </si>
  <si>
    <t>2025-05-19</t>
  </si>
  <si>
    <t>2024-11-08</t>
  </si>
  <si>
    <t>2025-07-12</t>
  </si>
  <si>
    <t>2025-02-21</t>
  </si>
  <si>
    <t>2024-12-25</t>
  </si>
  <si>
    <t>2025-04-10</t>
  </si>
  <si>
    <t>2024-09-29</t>
  </si>
  <si>
    <t>2025-07-24</t>
  </si>
  <si>
    <t>2025-10-26</t>
  </si>
  <si>
    <t>2024-05-23</t>
  </si>
  <si>
    <t>2024-10-05</t>
  </si>
  <si>
    <t>2024-03-19</t>
  </si>
  <si>
    <t>2024-12-15</t>
  </si>
  <si>
    <t>2025-11-29</t>
  </si>
  <si>
    <t>2025-09-09</t>
  </si>
  <si>
    <t>2024-04-23</t>
  </si>
  <si>
    <t>2024-08-19</t>
  </si>
  <si>
    <t>2024-07-14</t>
  </si>
  <si>
    <t>2025-10-04</t>
  </si>
  <si>
    <t>2024-05-17</t>
  </si>
  <si>
    <t>2024-07-23</t>
  </si>
  <si>
    <t>2025-07-23</t>
  </si>
  <si>
    <t>2025-09-22</t>
  </si>
  <si>
    <t>2025-12-23</t>
  </si>
  <si>
    <t>2024-11-12</t>
  </si>
  <si>
    <t>2024-07-03</t>
  </si>
  <si>
    <t>2025-04-14</t>
  </si>
  <si>
    <t>2024-09-23</t>
  </si>
  <si>
    <t>2025-01-05</t>
  </si>
  <si>
    <t>2025-03-31</t>
  </si>
  <si>
    <t>2025-10-01</t>
  </si>
  <si>
    <t>2024-05-21</t>
  </si>
  <si>
    <t>2024-08-12</t>
  </si>
  <si>
    <t>2025-04-28</t>
  </si>
  <si>
    <t>2025-03-12</t>
  </si>
  <si>
    <t>2025-06-05</t>
  </si>
  <si>
    <t>2024-08-05</t>
  </si>
  <si>
    <t>2025-11-11</t>
  </si>
  <si>
    <t>2025-04-05</t>
  </si>
  <si>
    <t>2025-08-05</t>
  </si>
  <si>
    <t>2025-07-29</t>
  </si>
  <si>
    <t>2025-02-22</t>
  </si>
  <si>
    <t>2024-10-22</t>
  </si>
  <si>
    <t>2025-06-18</t>
  </si>
  <si>
    <t>2025-11-24</t>
  </si>
  <si>
    <t>2025-03-16</t>
  </si>
  <si>
    <t>2024-08-15</t>
  </si>
  <si>
    <t>2025-08-13</t>
  </si>
  <si>
    <t>2025-07-17</t>
  </si>
  <si>
    <t>2025-09-01</t>
  </si>
  <si>
    <t>2024-05-14</t>
  </si>
  <si>
    <t>2024-11-14</t>
  </si>
  <si>
    <t>2025-08-01</t>
  </si>
  <si>
    <t>2024-05-16</t>
  </si>
  <si>
    <t>2025-12-15</t>
  </si>
  <si>
    <t>2024-09-02</t>
  </si>
  <si>
    <t>2024-01-01</t>
  </si>
  <si>
    <t>2025-02-07</t>
  </si>
  <si>
    <t>2024-11-30</t>
  </si>
  <si>
    <t>2025-05-03</t>
  </si>
  <si>
    <t>2025-05-10</t>
  </si>
  <si>
    <t>2025-04-17</t>
  </si>
  <si>
    <t>2025-05-18</t>
  </si>
  <si>
    <t>2024-07-31</t>
  </si>
  <si>
    <t>2025-09-10</t>
  </si>
  <si>
    <t>2025-06-13</t>
  </si>
  <si>
    <t>2025-03-29</t>
  </si>
  <si>
    <t>2024-07-22</t>
  </si>
  <si>
    <t>2025-08-26</t>
  </si>
  <si>
    <t>2024-12-26</t>
  </si>
  <si>
    <t>2025-07-21</t>
  </si>
  <si>
    <t>2024-10-19</t>
  </si>
  <si>
    <t>2025-07-16</t>
  </si>
  <si>
    <t>2024-10-09</t>
  </si>
  <si>
    <t>2025-03-08</t>
  </si>
  <si>
    <t>2024-04-25</t>
  </si>
  <si>
    <t>2025-04-01</t>
  </si>
  <si>
    <t>2024-06-09</t>
  </si>
  <si>
    <t>2024-11-19</t>
  </si>
  <si>
    <t>2024-02-06</t>
  </si>
  <si>
    <t>2024-09-13</t>
  </si>
  <si>
    <t>2024-11-16</t>
  </si>
  <si>
    <t>2024-06-20</t>
  </si>
  <si>
    <t>2025-01-11</t>
  </si>
  <si>
    <t>2024-07-28</t>
  </si>
  <si>
    <t>2025-06-11</t>
  </si>
  <si>
    <t>2024-06-04</t>
  </si>
  <si>
    <t>2025-03-09</t>
  </si>
  <si>
    <t>2025-08-24</t>
  </si>
  <si>
    <t>2025-12-19</t>
  </si>
  <si>
    <t>2024-05-09</t>
  </si>
  <si>
    <t>2024-02-25</t>
  </si>
  <si>
    <t>2025-09-26</t>
  </si>
  <si>
    <t>2025-05-14</t>
  </si>
  <si>
    <t>2024-06-06</t>
  </si>
  <si>
    <t>2024-04-26</t>
  </si>
  <si>
    <t>2024-05-05</t>
  </si>
  <si>
    <t>2024-09-06</t>
  </si>
  <si>
    <t>2025-11-10</t>
  </si>
  <si>
    <t>2024-11-17</t>
  </si>
  <si>
    <t>2025-09-19</t>
  </si>
  <si>
    <t>2025-02-14</t>
  </si>
  <si>
    <t>2025-10-31</t>
  </si>
  <si>
    <t>2025-11-20</t>
  </si>
  <si>
    <t>2025-07-04</t>
  </si>
  <si>
    <t>2024-04-27</t>
  </si>
  <si>
    <t>2025-10-09</t>
  </si>
  <si>
    <t>2025-01-26</t>
  </si>
  <si>
    <t>2025-03-02</t>
  </si>
  <si>
    <t>2025-08-08</t>
  </si>
  <si>
    <t>2025-10-15</t>
  </si>
  <si>
    <t>2025-07-25</t>
  </si>
  <si>
    <t>2025-02-16</t>
  </si>
  <si>
    <t>2024-06-07</t>
  </si>
  <si>
    <t>2024-07-11</t>
  </si>
  <si>
    <t>2025-02-25</t>
  </si>
  <si>
    <t>2024-11-26</t>
  </si>
  <si>
    <t>2024-04-11</t>
  </si>
  <si>
    <t>2025-11-15</t>
  </si>
  <si>
    <t>2024-05-31</t>
  </si>
  <si>
    <t>2025-09-21</t>
  </si>
  <si>
    <t>2025-06-24</t>
  </si>
  <si>
    <t>2025-01-23</t>
  </si>
  <si>
    <t>2024-11-10</t>
  </si>
  <si>
    <t>2025-12-24</t>
  </si>
  <si>
    <t>2024-04-05</t>
  </si>
  <si>
    <t>2025-01-29</t>
  </si>
  <si>
    <t>2025-06-07</t>
  </si>
  <si>
    <t>2024-11-11</t>
  </si>
  <si>
    <t>2024-06-26</t>
  </si>
  <si>
    <t>2024-12-03</t>
  </si>
  <si>
    <t>2024-12-20</t>
  </si>
  <si>
    <t>2024-03-21</t>
  </si>
  <si>
    <t>2025-07-22</t>
  </si>
  <si>
    <t>2025-08-09</t>
  </si>
  <si>
    <t>2025-01-17</t>
  </si>
  <si>
    <t>2024-05-20</t>
  </si>
  <si>
    <t>2025-05-25</t>
  </si>
  <si>
    <t>2025-09-14</t>
  </si>
  <si>
    <t>2025-11-12</t>
  </si>
  <si>
    <t>2025-05-12</t>
  </si>
  <si>
    <t>2025-12-06</t>
  </si>
  <si>
    <t>2024-04-16</t>
  </si>
  <si>
    <t>2025-10-13</t>
  </si>
  <si>
    <t>2024-10-11</t>
  </si>
  <si>
    <t>2024-12-08</t>
  </si>
  <si>
    <t>2025-03-13</t>
  </si>
  <si>
    <t>2025-01-10</t>
  </si>
  <si>
    <t>2025-04-04</t>
  </si>
  <si>
    <t>2024-05-28</t>
  </si>
  <si>
    <t>2024-12-01</t>
  </si>
  <si>
    <t>2025-07-02</t>
  </si>
  <si>
    <t>2024-02-19</t>
  </si>
  <si>
    <t>2024-08-04</t>
  </si>
  <si>
    <t>2024-10-15</t>
  </si>
  <si>
    <t>2024-11-07</t>
  </si>
  <si>
    <t>2024-04-06</t>
  </si>
  <si>
    <t>2025-02-24</t>
  </si>
  <si>
    <t>2025-01-21</t>
  </si>
  <si>
    <t>2024-01-10</t>
  </si>
  <si>
    <t>2024-08-26</t>
  </si>
  <si>
    <t>2024-02-27</t>
  </si>
  <si>
    <t>2025-04-22</t>
  </si>
  <si>
    <t>2025-08-18</t>
  </si>
  <si>
    <t>2024-09-17</t>
  </si>
  <si>
    <t>2024-01-19</t>
  </si>
  <si>
    <t>2024-12-02</t>
  </si>
  <si>
    <t>2024-03-07</t>
  </si>
  <si>
    <t>2025-03-24</t>
  </si>
  <si>
    <t>2024-03-25</t>
  </si>
  <si>
    <t>2025-02-01</t>
  </si>
  <si>
    <t>2025-12-11</t>
  </si>
  <si>
    <t>2025-10-27</t>
  </si>
  <si>
    <t>2024-01-20</t>
  </si>
  <si>
    <t>2025-05-28</t>
  </si>
  <si>
    <t>2024-03-18</t>
  </si>
  <si>
    <t>2024-08-27</t>
  </si>
  <si>
    <t>2025-05-20</t>
  </si>
  <si>
    <t>2025-08-28</t>
  </si>
  <si>
    <t>2025-12-13</t>
  </si>
  <si>
    <t>2024-03-13</t>
  </si>
  <si>
    <t>2024-06-05</t>
  </si>
  <si>
    <t>2024-08-21</t>
  </si>
  <si>
    <t>2024-12-06</t>
  </si>
  <si>
    <t>2024-01-11</t>
  </si>
  <si>
    <t>2025-07-13</t>
  </si>
  <si>
    <t>2024-06-13</t>
  </si>
  <si>
    <t>2025-05-11</t>
  </si>
  <si>
    <t>2024-10-02</t>
  </si>
  <si>
    <t>2024-04-17</t>
  </si>
  <si>
    <t>2025-07-31</t>
  </si>
  <si>
    <t>2025-05-08</t>
  </si>
  <si>
    <t>2025-04-19</t>
  </si>
  <si>
    <t>2024-07-18</t>
  </si>
  <si>
    <t>2024-05-24</t>
  </si>
  <si>
    <t>2025-05-29</t>
  </si>
  <si>
    <t>2024-05-30</t>
  </si>
  <si>
    <t>2024-03-26</t>
  </si>
  <si>
    <t>2024-06-19</t>
  </si>
  <si>
    <t>2025-10-25</t>
  </si>
  <si>
    <t>2024-08-25</t>
  </si>
  <si>
    <t>2025-07-07</t>
  </si>
  <si>
    <t>2024-09-24</t>
  </si>
  <si>
    <t>2025-02-12</t>
  </si>
  <si>
    <t>2024-06-18</t>
  </si>
  <si>
    <t>2024-06-27</t>
  </si>
  <si>
    <t>2024-01-12</t>
  </si>
  <si>
    <t>2025-12-14</t>
  </si>
  <si>
    <t>2024-06-24</t>
  </si>
  <si>
    <t>2024-11-28</t>
  </si>
  <si>
    <t>2025-09-24</t>
  </si>
  <si>
    <t>2025-11-13</t>
  </si>
  <si>
    <t>2024-02-03</t>
  </si>
  <si>
    <t>2024-09-27</t>
  </si>
  <si>
    <t>2025-11-03</t>
  </si>
  <si>
    <t>2024-05-08</t>
  </si>
  <si>
    <t>2024-04-22</t>
  </si>
  <si>
    <t>2025-08-27</t>
  </si>
  <si>
    <t>2025-04-16</t>
  </si>
  <si>
    <t>2025-09-06</t>
  </si>
  <si>
    <t>2024-02-10</t>
  </si>
  <si>
    <t>2024-03-28</t>
  </si>
  <si>
    <t>2025-10-12</t>
  </si>
  <si>
    <t>2025-09-11</t>
  </si>
  <si>
    <t>2024-07-02</t>
  </si>
  <si>
    <t>2024-05-18</t>
  </si>
  <si>
    <t>2025-05-09</t>
  </si>
  <si>
    <t>2024-03-08</t>
  </si>
  <si>
    <t>2025-06-26</t>
  </si>
  <si>
    <t>2024-01-18</t>
  </si>
  <si>
    <t>2025-02-13</t>
  </si>
  <si>
    <t>2024-02-26</t>
  </si>
  <si>
    <t>2025-01-25</t>
  </si>
  <si>
    <t>2024-08-23</t>
  </si>
  <si>
    <t>2025-01-16</t>
  </si>
  <si>
    <t>2025-03-06</t>
  </si>
  <si>
    <t>2024-01-24</t>
  </si>
  <si>
    <t>2025-01-08</t>
  </si>
  <si>
    <t>2024-01-06</t>
  </si>
  <si>
    <t>2025-04-02</t>
  </si>
  <si>
    <t>2025-04-08</t>
  </si>
  <si>
    <t>2024-12-29</t>
  </si>
  <si>
    <t>2025-09-17</t>
  </si>
  <si>
    <t>2024-07-12</t>
  </si>
  <si>
    <t>2024-04-12</t>
  </si>
  <si>
    <t>2024-12-04</t>
  </si>
  <si>
    <t>2024-11-18</t>
  </si>
  <si>
    <t>2024-02-17</t>
  </si>
  <si>
    <t>2024-11-09</t>
  </si>
  <si>
    <t>2024-08-13</t>
  </si>
  <si>
    <t>2025-12-31</t>
  </si>
  <si>
    <t>2025-09-04</t>
  </si>
  <si>
    <t>2025-12-07</t>
  </si>
  <si>
    <t>2025-08-02</t>
  </si>
  <si>
    <t>2025-08-30</t>
  </si>
  <si>
    <t>2024-08-07</t>
  </si>
  <si>
    <t>2024-06-29</t>
  </si>
  <si>
    <t>2024-12-18</t>
  </si>
  <si>
    <t>2024-09-25</t>
  </si>
  <si>
    <t>2025-05-30</t>
  </si>
  <si>
    <t>2025-04-23</t>
  </si>
  <si>
    <t>2024-08-01</t>
  </si>
  <si>
    <t>2025-07-05</t>
  </si>
  <si>
    <t>2024-08-10</t>
  </si>
  <si>
    <t>2025-06-19</t>
  </si>
  <si>
    <t>2024-10-29</t>
  </si>
  <si>
    <t>2024-01-31</t>
  </si>
  <si>
    <t>2025-06-17</t>
  </si>
  <si>
    <t>2025-04-06</t>
  </si>
  <si>
    <t>2024-03-29</t>
  </si>
  <si>
    <t>2024-07-01</t>
  </si>
  <si>
    <t>2025-05-07</t>
  </si>
  <si>
    <t>2024-09-04</t>
  </si>
  <si>
    <t>2025-09-23</t>
  </si>
  <si>
    <t>2025-02-08</t>
  </si>
  <si>
    <t>2025-03-03</t>
  </si>
  <si>
    <t>2024-04-20</t>
  </si>
  <si>
    <t>2024-03-06</t>
  </si>
  <si>
    <t>2025-04-11</t>
  </si>
  <si>
    <t>2025-05-23</t>
  </si>
  <si>
    <t>2024-03-16</t>
  </si>
  <si>
    <t>2025-05-16</t>
  </si>
  <si>
    <t>2025-12-22</t>
  </si>
  <si>
    <t>2024-09-05</t>
  </si>
  <si>
    <t>2024-09-22</t>
  </si>
  <si>
    <t>2025-11-05</t>
  </si>
  <si>
    <t>2025-06-29</t>
  </si>
  <si>
    <t>2024-01-29</t>
  </si>
  <si>
    <t>2024-07-15</t>
  </si>
  <si>
    <t>2024-02-09</t>
  </si>
  <si>
    <t>2024-05-07</t>
  </si>
  <si>
    <t>2024-01-03</t>
  </si>
  <si>
    <t>2025-07-18</t>
  </si>
  <si>
    <t>2024-03-01</t>
  </si>
  <si>
    <t>2025-06-25</t>
  </si>
  <si>
    <t>2025-05-05</t>
  </si>
  <si>
    <t>2024-02-20</t>
  </si>
  <si>
    <t>2024-05-26</t>
  </si>
  <si>
    <t>2025-06-03</t>
  </si>
  <si>
    <t>2024-09-14</t>
  </si>
  <si>
    <t>2025-05-15</t>
  </si>
  <si>
    <t>2024-10-28</t>
  </si>
  <si>
    <t>2025-03-28</t>
  </si>
  <si>
    <t>2024-02-12</t>
  </si>
  <si>
    <t>2024-01-15</t>
  </si>
  <si>
    <t>2025-06-12</t>
  </si>
  <si>
    <t>2025-08-10</t>
  </si>
  <si>
    <t>2025-12-30</t>
  </si>
  <si>
    <t>2024-01-05</t>
  </si>
  <si>
    <t>2024-08-22</t>
  </si>
  <si>
    <t>2025-02-06</t>
  </si>
  <si>
    <t>2025-07-27</t>
  </si>
  <si>
    <t>2024-12-24</t>
  </si>
  <si>
    <t>2025-06-28</t>
  </si>
  <si>
    <t>2024-07-19</t>
  </si>
  <si>
    <t>2025-07-09</t>
  </si>
  <si>
    <t>2024-11-20</t>
  </si>
  <si>
    <t>2025-09-03</t>
  </si>
  <si>
    <t>2024-01-04</t>
  </si>
  <si>
    <t>2025-09-15</t>
  </si>
  <si>
    <t>2024-04-03</t>
  </si>
  <si>
    <t>2024-03-23</t>
  </si>
  <si>
    <t>2024-07-09</t>
  </si>
  <si>
    <t>2025-01-24</t>
  </si>
  <si>
    <t>2025-05-26</t>
  </si>
  <si>
    <t>2025-08-21</t>
  </si>
  <si>
    <t>2024-11-01</t>
  </si>
  <si>
    <t>2024-04-28</t>
  </si>
  <si>
    <t>2025-10-22</t>
  </si>
  <si>
    <t>2025-10-10</t>
  </si>
  <si>
    <t>2024-11-25</t>
  </si>
  <si>
    <t>2024-05-13</t>
  </si>
  <si>
    <t>2025-01-30</t>
  </si>
  <si>
    <t>2024-03-24</t>
  </si>
  <si>
    <t>2024-03-22</t>
  </si>
  <si>
    <t>2024-11-22</t>
  </si>
  <si>
    <t>2024-08-06</t>
  </si>
  <si>
    <t>2025-04-21</t>
  </si>
  <si>
    <t>2025-08-31</t>
  </si>
  <si>
    <t>2025-12-10</t>
  </si>
  <si>
    <t>2024-03-04</t>
  </si>
  <si>
    <t>2024-10-10</t>
  </si>
  <si>
    <t>2025-01-02</t>
  </si>
  <si>
    <t>2024-11-02</t>
  </si>
  <si>
    <t>2025-11-07</t>
  </si>
  <si>
    <t>2024-09-01</t>
  </si>
  <si>
    <t>2024-05-12</t>
  </si>
  <si>
    <t>2025-03-27</t>
  </si>
  <si>
    <t>2024-12-16</t>
  </si>
  <si>
    <t>2024-08-09</t>
  </si>
  <si>
    <t>2024-04-13</t>
  </si>
  <si>
    <t>2025-12-26</t>
  </si>
  <si>
    <t>2024-05-01</t>
  </si>
  <si>
    <t>2025-09-18</t>
  </si>
  <si>
    <t>2025-09-30</t>
  </si>
  <si>
    <t>Germany</t>
  </si>
  <si>
    <t>France</t>
  </si>
  <si>
    <t>Ireland</t>
  </si>
  <si>
    <t>UK</t>
  </si>
  <si>
    <t>Munich</t>
  </si>
  <si>
    <t>Toulouse</t>
  </si>
  <si>
    <t>Galway</t>
  </si>
  <si>
    <t>Manchester</t>
  </si>
  <si>
    <t>Dublin</t>
  </si>
  <si>
    <t>Limerick</t>
  </si>
  <si>
    <t>Frankfurt</t>
  </si>
  <si>
    <t>Marseille</t>
  </si>
  <si>
    <t>Cork</t>
  </si>
  <si>
    <t>Leeds</t>
  </si>
  <si>
    <t>Berlin</t>
  </si>
  <si>
    <t>Lyon</t>
  </si>
  <si>
    <t>London</t>
  </si>
  <si>
    <t>Birmingham</t>
  </si>
  <si>
    <t>Paris</t>
  </si>
  <si>
    <t>Hamburg</t>
  </si>
  <si>
    <t>North</t>
  </si>
  <si>
    <t>South</t>
  </si>
  <si>
    <t>West</t>
  </si>
  <si>
    <t>East</t>
  </si>
  <si>
    <t>C9313</t>
  </si>
  <si>
    <t>C7499</t>
  </si>
  <si>
    <t>C7101</t>
  </si>
  <si>
    <t>C6924</t>
  </si>
  <si>
    <t>C2934</t>
  </si>
  <si>
    <t>C9137</t>
  </si>
  <si>
    <t>C6685</t>
  </si>
  <si>
    <t>C9134</t>
  </si>
  <si>
    <t>C4780</t>
  </si>
  <si>
    <t>C1067</t>
  </si>
  <si>
    <t>C7457</t>
  </si>
  <si>
    <t>C3478</t>
  </si>
  <si>
    <t>C2889</t>
  </si>
  <si>
    <t>C9459</t>
  </si>
  <si>
    <t>C9725</t>
  </si>
  <si>
    <t>C5577</t>
  </si>
  <si>
    <t>C6533</t>
  </si>
  <si>
    <t>C8109</t>
  </si>
  <si>
    <t>C3394</t>
  </si>
  <si>
    <t>C4457</t>
  </si>
  <si>
    <t>C8506</t>
  </si>
  <si>
    <t>C8757</t>
  </si>
  <si>
    <t>C1456</t>
  </si>
  <si>
    <t>C4319</t>
  </si>
  <si>
    <t>C3004</t>
  </si>
  <si>
    <t>C3645</t>
  </si>
  <si>
    <t>C8216</t>
  </si>
  <si>
    <t>C3122</t>
  </si>
  <si>
    <t>C4003</t>
  </si>
  <si>
    <t>C6556</t>
  </si>
  <si>
    <t>C9701</t>
  </si>
  <si>
    <t>C5025</t>
  </si>
  <si>
    <t>C1891</t>
  </si>
  <si>
    <t>C5801</t>
  </si>
  <si>
    <t>C6071</t>
  </si>
  <si>
    <t>C2488</t>
  </si>
  <si>
    <t>C7381</t>
  </si>
  <si>
    <t>C4767</t>
  </si>
  <si>
    <t>C9016</t>
  </si>
  <si>
    <t>C4362</t>
  </si>
  <si>
    <t>C6435</t>
  </si>
  <si>
    <t>C9021</t>
  </si>
  <si>
    <t>C5744</t>
  </si>
  <si>
    <t>C9335</t>
  </si>
  <si>
    <t>C7642</t>
  </si>
  <si>
    <t>C4207</t>
  </si>
  <si>
    <t>C5597</t>
  </si>
  <si>
    <t>C7554</t>
  </si>
  <si>
    <t>C7797</t>
  </si>
  <si>
    <t>C3648</t>
  </si>
  <si>
    <t>C6602</t>
  </si>
  <si>
    <t>C6541</t>
  </si>
  <si>
    <t>C8304</t>
  </si>
  <si>
    <t>C8355</t>
  </si>
  <si>
    <t>C4810</t>
  </si>
  <si>
    <t>C7358</t>
  </si>
  <si>
    <t>C1479</t>
  </si>
  <si>
    <t>C9076</t>
  </si>
  <si>
    <t>C4283</t>
  </si>
  <si>
    <t>C7832</t>
  </si>
  <si>
    <t>C8366</t>
  </si>
  <si>
    <t>C7125</t>
  </si>
  <si>
    <t>C7228</t>
  </si>
  <si>
    <t>C6967</t>
  </si>
  <si>
    <t>C2029</t>
  </si>
  <si>
    <t>C2757</t>
  </si>
  <si>
    <t>C3479</t>
  </si>
  <si>
    <t>C2060</t>
  </si>
  <si>
    <t>C8323</t>
  </si>
  <si>
    <t>C6346</t>
  </si>
  <si>
    <t>C8358</t>
  </si>
  <si>
    <t>C4333</t>
  </si>
  <si>
    <t>C2036</t>
  </si>
  <si>
    <t>C7845</t>
  </si>
  <si>
    <t>C3565</t>
  </si>
  <si>
    <t>C2458</t>
  </si>
  <si>
    <t>C4233</t>
  </si>
  <si>
    <t>C7627</t>
  </si>
  <si>
    <t>C1673</t>
  </si>
  <si>
    <t>C7975</t>
  </si>
  <si>
    <t>C8508</t>
  </si>
  <si>
    <t>C1666</t>
  </si>
  <si>
    <t>C9058</t>
  </si>
  <si>
    <t>C5164</t>
  </si>
  <si>
    <t>C7174</t>
  </si>
  <si>
    <t>C7086</t>
  </si>
  <si>
    <t>C6080</t>
  </si>
  <si>
    <t>C9001</t>
  </si>
  <si>
    <t>C7770</t>
  </si>
  <si>
    <t>C8386</t>
  </si>
  <si>
    <t>C5071</t>
  </si>
  <si>
    <t>C3330</t>
  </si>
  <si>
    <t>C8622</t>
  </si>
  <si>
    <t>C5357</t>
  </si>
  <si>
    <t>C6355</t>
  </si>
  <si>
    <t>C4831</t>
  </si>
  <si>
    <t>C1470</t>
  </si>
  <si>
    <t>C7288</t>
  </si>
  <si>
    <t>C5824</t>
  </si>
  <si>
    <t>C5712</t>
  </si>
  <si>
    <t>C3791</t>
  </si>
  <si>
    <t>C9440</t>
  </si>
  <si>
    <t>C6351</t>
  </si>
  <si>
    <t>C7214</t>
  </si>
  <si>
    <t>C3777</t>
  </si>
  <si>
    <t>C3555</t>
  </si>
  <si>
    <t>C4201</t>
  </si>
  <si>
    <t>C7362</t>
  </si>
  <si>
    <t>C1090</t>
  </si>
  <si>
    <t>C7874</t>
  </si>
  <si>
    <t>C1174</t>
  </si>
  <si>
    <t>C9864</t>
  </si>
  <si>
    <t>C6824</t>
  </si>
  <si>
    <t>C2790</t>
  </si>
  <si>
    <t>C8686</t>
  </si>
  <si>
    <t>C5154</t>
  </si>
  <si>
    <t>C8020</t>
  </si>
  <si>
    <t>C1245</t>
  </si>
  <si>
    <t>C3501</t>
  </si>
  <si>
    <t>C2940</t>
  </si>
  <si>
    <t>C5039</t>
  </si>
  <si>
    <t>C7861</t>
  </si>
  <si>
    <t>C4495</t>
  </si>
  <si>
    <t>C4334</t>
  </si>
  <si>
    <t>C7652</t>
  </si>
  <si>
    <t>C3409</t>
  </si>
  <si>
    <t>C6068</t>
  </si>
  <si>
    <t>C2947</t>
  </si>
  <si>
    <t>C9991</t>
  </si>
  <si>
    <t>C2988</t>
  </si>
  <si>
    <t>C9160</t>
  </si>
  <si>
    <t>C8968</t>
  </si>
  <si>
    <t>C8814</t>
  </si>
  <si>
    <t>C8021</t>
  </si>
  <si>
    <t>C5727</t>
  </si>
  <si>
    <t>C6070</t>
  </si>
  <si>
    <t>C2026</t>
  </si>
  <si>
    <t>C6944</t>
  </si>
  <si>
    <t>C1497</t>
  </si>
  <si>
    <t>C2591</t>
  </si>
  <si>
    <t>C3616</t>
  </si>
  <si>
    <t>C1913</t>
  </si>
  <si>
    <t>C7089</t>
  </si>
  <si>
    <t>C1590</t>
  </si>
  <si>
    <t>C5364</t>
  </si>
  <si>
    <t>C6211</t>
  </si>
  <si>
    <t>C6968</t>
  </si>
  <si>
    <t>C8243</t>
  </si>
  <si>
    <t>C3960</t>
  </si>
  <si>
    <t>C3245</t>
  </si>
  <si>
    <t>C9077</t>
  </si>
  <si>
    <t>C7081</t>
  </si>
  <si>
    <t>C9106</t>
  </si>
  <si>
    <t>C1492</t>
  </si>
  <si>
    <t>C2538</t>
  </si>
  <si>
    <t>C9873</t>
  </si>
  <si>
    <t>C6951</t>
  </si>
  <si>
    <t>C5084</t>
  </si>
  <si>
    <t>C7893</t>
  </si>
  <si>
    <t>C5105</t>
  </si>
  <si>
    <t>C9417</t>
  </si>
  <si>
    <t>C2439</t>
  </si>
  <si>
    <t>C1507</t>
  </si>
  <si>
    <t>C9051</t>
  </si>
  <si>
    <t>C9470</t>
  </si>
  <si>
    <t>C5534</t>
  </si>
  <si>
    <t>C3451</t>
  </si>
  <si>
    <t>C6275</t>
  </si>
  <si>
    <t>C4800</t>
  </si>
  <si>
    <t>C9822</t>
  </si>
  <si>
    <t>C9605</t>
  </si>
  <si>
    <t>C8211</t>
  </si>
  <si>
    <t>C6625</t>
  </si>
  <si>
    <t>C7740</t>
  </si>
  <si>
    <t>C9156</t>
  </si>
  <si>
    <t>C2247</t>
  </si>
  <si>
    <t>C3775</t>
  </si>
  <si>
    <t>C8203</t>
  </si>
  <si>
    <t>C5128</t>
  </si>
  <si>
    <t>C3784</t>
  </si>
  <si>
    <t>C2072</t>
  </si>
  <si>
    <t>C6593</t>
  </si>
  <si>
    <t>C6782</t>
  </si>
  <si>
    <t>C5272</t>
  </si>
  <si>
    <t>C9889</t>
  </si>
  <si>
    <t>C2785</t>
  </si>
  <si>
    <t>C7608</t>
  </si>
  <si>
    <t>C6769</t>
  </si>
  <si>
    <t>C5965</t>
  </si>
  <si>
    <t>C1015</t>
  </si>
  <si>
    <t>C7835</t>
  </si>
  <si>
    <t>C4374</t>
  </si>
  <si>
    <t>C5090</t>
  </si>
  <si>
    <t>C4897</t>
  </si>
  <si>
    <t>C9982</t>
  </si>
  <si>
    <t>C5601</t>
  </si>
  <si>
    <t>C2176</t>
  </si>
  <si>
    <t>C4109</t>
  </si>
  <si>
    <t>C3377</t>
  </si>
  <si>
    <t>C7037</t>
  </si>
  <si>
    <t>C9099</t>
  </si>
  <si>
    <t>C8200</t>
  </si>
  <si>
    <t>C6548</t>
  </si>
  <si>
    <t>C8681</t>
  </si>
  <si>
    <t>C5866</t>
  </si>
  <si>
    <t>C3407</t>
  </si>
  <si>
    <t>C4625</t>
  </si>
  <si>
    <t>C7685</t>
  </si>
  <si>
    <t>C2525</t>
  </si>
  <si>
    <t>C2974</t>
  </si>
  <si>
    <t>C5188</t>
  </si>
  <si>
    <t>C5171</t>
  </si>
  <si>
    <t>C5751</t>
  </si>
  <si>
    <t>C2222</t>
  </si>
  <si>
    <t>C9655</t>
  </si>
  <si>
    <t>C1098</t>
  </si>
  <si>
    <t>C5467</t>
  </si>
  <si>
    <t>C4264</t>
  </si>
  <si>
    <t>C6741</t>
  </si>
  <si>
    <t>C4364</t>
  </si>
  <si>
    <t>C5130</t>
  </si>
  <si>
    <t>C6230</t>
  </si>
  <si>
    <t>C5630</t>
  </si>
  <si>
    <t>C4083</t>
  </si>
  <si>
    <t>C3859</t>
  </si>
  <si>
    <t>C6135</t>
  </si>
  <si>
    <t>C7934</t>
  </si>
  <si>
    <t>C5559</t>
  </si>
  <si>
    <t>C7567</t>
  </si>
  <si>
    <t>C3446</t>
  </si>
  <si>
    <t>C4474</t>
  </si>
  <si>
    <t>C4671</t>
  </si>
  <si>
    <t>C5889</t>
  </si>
  <si>
    <t>C6239</t>
  </si>
  <si>
    <t>C2827</t>
  </si>
  <si>
    <t>C6563</t>
  </si>
  <si>
    <t>C2718</t>
  </si>
  <si>
    <t>C9937</t>
  </si>
  <si>
    <t>C5407</t>
  </si>
  <si>
    <t>C9912</t>
  </si>
  <si>
    <t>C7716</t>
  </si>
  <si>
    <t>C1811</t>
  </si>
  <si>
    <t>C9948</t>
  </si>
  <si>
    <t>C5340</t>
  </si>
  <si>
    <t>C3823</t>
  </si>
  <si>
    <t>C7146</t>
  </si>
  <si>
    <t>C8361</t>
  </si>
  <si>
    <t>C9575</t>
  </si>
  <si>
    <t>C6308</t>
  </si>
  <si>
    <t>C1719</t>
  </si>
  <si>
    <t>C4139</t>
  </si>
  <si>
    <t>C2766</t>
  </si>
  <si>
    <t>C4280</t>
  </si>
  <si>
    <t>C2666</t>
  </si>
  <si>
    <t>C7667</t>
  </si>
  <si>
    <t>C2419</t>
  </si>
  <si>
    <t>C5996</t>
  </si>
  <si>
    <t>C1838</t>
  </si>
  <si>
    <t>C7651</t>
  </si>
  <si>
    <t>C3951</t>
  </si>
  <si>
    <t>C8629</t>
  </si>
  <si>
    <t>C1684</t>
  </si>
  <si>
    <t>C3488</t>
  </si>
  <si>
    <t>C3439</t>
  </si>
  <si>
    <t>C6700</t>
  </si>
  <si>
    <t>C8707</t>
  </si>
  <si>
    <t>C6738</t>
  </si>
  <si>
    <t>C3643</t>
  </si>
  <si>
    <t>C2249</t>
  </si>
  <si>
    <t>C5280</t>
  </si>
  <si>
    <t>C9773</t>
  </si>
  <si>
    <t>C2556</t>
  </si>
  <si>
    <t>C7443</t>
  </si>
  <si>
    <t>C6526</t>
  </si>
  <si>
    <t>C7670</t>
  </si>
  <si>
    <t>C2095</t>
  </si>
  <si>
    <t>C3657</t>
  </si>
  <si>
    <t>C9404</t>
  </si>
  <si>
    <t>C7422</t>
  </si>
  <si>
    <t>C5922</t>
  </si>
  <si>
    <t>C2361</t>
  </si>
  <si>
    <t>C2977</t>
  </si>
  <si>
    <t>C6055</t>
  </si>
  <si>
    <t>C6772</t>
  </si>
  <si>
    <t>C6928</t>
  </si>
  <si>
    <t>C8335</t>
  </si>
  <si>
    <t>C9322</t>
  </si>
  <si>
    <t>C7233</t>
  </si>
  <si>
    <t>C9454</t>
  </si>
  <si>
    <t>C8778</t>
  </si>
  <si>
    <t>C4341</t>
  </si>
  <si>
    <t>C7416</t>
  </si>
  <si>
    <t>C5350</t>
  </si>
  <si>
    <t>C7431</t>
  </si>
  <si>
    <t>C7769</t>
  </si>
  <si>
    <t>C4911</t>
  </si>
  <si>
    <t>C4491</t>
  </si>
  <si>
    <t>C8499</t>
  </si>
  <si>
    <t>C4677</t>
  </si>
  <si>
    <t>C1464</t>
  </si>
  <si>
    <t>C7084</t>
  </si>
  <si>
    <t>C4111</t>
  </si>
  <si>
    <t>C5853</t>
  </si>
  <si>
    <t>C6172</t>
  </si>
  <si>
    <t>C2748</t>
  </si>
  <si>
    <t>C4428</t>
  </si>
  <si>
    <t>C1210</t>
  </si>
  <si>
    <t>C8565</t>
  </si>
  <si>
    <t>C8477</t>
  </si>
  <si>
    <t>C2939</t>
  </si>
  <si>
    <t>C4975</t>
  </si>
  <si>
    <t>C5308</t>
  </si>
  <si>
    <t>C2733</t>
  </si>
  <si>
    <t>C9936</t>
  </si>
  <si>
    <t>C2808</t>
  </si>
  <si>
    <t>C3421</t>
  </si>
  <si>
    <t>C8464</t>
  </si>
  <si>
    <t>C8237</t>
  </si>
  <si>
    <t>C6340</t>
  </si>
  <si>
    <t>C6613</t>
  </si>
  <si>
    <t>C4465</t>
  </si>
  <si>
    <t>C2938</t>
  </si>
  <si>
    <t>C5251</t>
  </si>
  <si>
    <t>C8546</t>
  </si>
  <si>
    <t>C4112</t>
  </si>
  <si>
    <t>C2457</t>
  </si>
  <si>
    <t>C5122</t>
  </si>
  <si>
    <t>C6985</t>
  </si>
  <si>
    <t>C8986</t>
  </si>
  <si>
    <t>C1994</t>
  </si>
  <si>
    <t>C8929</t>
  </si>
  <si>
    <t>C8781</t>
  </si>
  <si>
    <t>C6971</t>
  </si>
  <si>
    <t>C1588</t>
  </si>
  <si>
    <t>C1206</t>
  </si>
  <si>
    <t>C4308</t>
  </si>
  <si>
    <t>C3655</t>
  </si>
  <si>
    <t>C5487</t>
  </si>
  <si>
    <t>C4653</t>
  </si>
  <si>
    <t>C3267</t>
  </si>
  <si>
    <t>C8143</t>
  </si>
  <si>
    <t>C1935</t>
  </si>
  <si>
    <t>C4393</t>
  </si>
  <si>
    <t>C5358</t>
  </si>
  <si>
    <t>C6654</t>
  </si>
  <si>
    <t>C5072</t>
  </si>
  <si>
    <t>C5463</t>
  </si>
  <si>
    <t>C1316</t>
  </si>
  <si>
    <t>C8845</t>
  </si>
  <si>
    <t>C6598</t>
  </si>
  <si>
    <t>C8740</t>
  </si>
  <si>
    <t>C3264</t>
  </si>
  <si>
    <t>C4748</t>
  </si>
  <si>
    <t>C2016</t>
  </si>
  <si>
    <t>C1804</t>
  </si>
  <si>
    <t>C8806</t>
  </si>
  <si>
    <t>C8813</t>
  </si>
  <si>
    <t>C3112</t>
  </si>
  <si>
    <t>C1839</t>
  </si>
  <si>
    <t>C7338</t>
  </si>
  <si>
    <t>C4030</t>
  </si>
  <si>
    <t>C5180</t>
  </si>
  <si>
    <t>C6632</t>
  </si>
  <si>
    <t>C5652</t>
  </si>
  <si>
    <t>C7236</t>
  </si>
  <si>
    <t>C9974</t>
  </si>
  <si>
    <t>C1418</t>
  </si>
  <si>
    <t>C6077</t>
  </si>
  <si>
    <t>C7822</t>
  </si>
  <si>
    <t>C1387</t>
  </si>
  <si>
    <t>C8101</t>
  </si>
  <si>
    <t>C3347</t>
  </si>
  <si>
    <t>C9231</t>
  </si>
  <si>
    <t>C4830</t>
  </si>
  <si>
    <t>C4803</t>
  </si>
  <si>
    <t>C2140</t>
  </si>
  <si>
    <t>C3641</t>
  </si>
  <si>
    <t>C3039</t>
  </si>
  <si>
    <t>C9194</t>
  </si>
  <si>
    <t>C3495</t>
  </si>
  <si>
    <t>C3380</t>
  </si>
  <si>
    <t>C3227</t>
  </si>
  <si>
    <t>C5717</t>
  </si>
  <si>
    <t>C8153</t>
  </si>
  <si>
    <t>C3940</t>
  </si>
  <si>
    <t>C3654</t>
  </si>
  <si>
    <t>C8914</t>
  </si>
  <si>
    <t>C8398</t>
  </si>
  <si>
    <t>C9197</t>
  </si>
  <si>
    <t>C4127</t>
  </si>
  <si>
    <t>C9061</t>
  </si>
  <si>
    <t>C2685</t>
  </si>
  <si>
    <t>C5903</t>
  </si>
  <si>
    <t>C7574</t>
  </si>
  <si>
    <t>C9296</t>
  </si>
  <si>
    <t>C4036</t>
  </si>
  <si>
    <t>C1998</t>
  </si>
  <si>
    <t>C7283</t>
  </si>
  <si>
    <t>C8705</t>
  </si>
  <si>
    <t>C2838</t>
  </si>
  <si>
    <t>C3031</t>
  </si>
  <si>
    <t>C5001</t>
  </si>
  <si>
    <t>C5697</t>
  </si>
  <si>
    <t>C6734</t>
  </si>
  <si>
    <t>C7636</t>
  </si>
  <si>
    <t>C8004</t>
  </si>
  <si>
    <t>C4878</t>
  </si>
  <si>
    <t>C8415</t>
  </si>
  <si>
    <t>C2215</t>
  </si>
  <si>
    <t>C9155</t>
  </si>
  <si>
    <t>C3754</t>
  </si>
  <si>
    <t>C7526</t>
  </si>
  <si>
    <t>C7565</t>
  </si>
  <si>
    <t>C7265</t>
  </si>
  <si>
    <t>C2099</t>
  </si>
  <si>
    <t>C5395</t>
  </si>
  <si>
    <t>C4853</t>
  </si>
  <si>
    <t>C6215</t>
  </si>
  <si>
    <t>C9239</t>
  </si>
  <si>
    <t>C7143</t>
  </si>
  <si>
    <t>C6019</t>
  </si>
  <si>
    <t>C6599</t>
  </si>
  <si>
    <t>C7050</t>
  </si>
  <si>
    <t>C3585</t>
  </si>
  <si>
    <t>C2824</t>
  </si>
  <si>
    <t>C6455</t>
  </si>
  <si>
    <t>C4823</t>
  </si>
  <si>
    <t>C4486</t>
  </si>
  <si>
    <t>C4941</t>
  </si>
  <si>
    <t>C8568</t>
  </si>
  <si>
    <t>C4481</t>
  </si>
  <si>
    <t>C9455</t>
  </si>
  <si>
    <t>C5488</t>
  </si>
  <si>
    <t>C7838</t>
  </si>
  <si>
    <t>C4236</t>
  </si>
  <si>
    <t>C8919</t>
  </si>
  <si>
    <t>C6238</t>
  </si>
  <si>
    <t>C3903</t>
  </si>
  <si>
    <t>C1426</t>
  </si>
  <si>
    <t>C4357</t>
  </si>
  <si>
    <t>C7256</t>
  </si>
  <si>
    <t>C3620</t>
  </si>
  <si>
    <t>C6788</t>
  </si>
  <si>
    <t>C1031</t>
  </si>
  <si>
    <t>C4098</t>
  </si>
  <si>
    <t>C4565</t>
  </si>
  <si>
    <t>C3513</t>
  </si>
  <si>
    <t>C3988</t>
  </si>
  <si>
    <t>C2771</t>
  </si>
  <si>
    <t>C4666</t>
  </si>
  <si>
    <t>C4156</t>
  </si>
  <si>
    <t>C6324</t>
  </si>
  <si>
    <t>C2893</t>
  </si>
  <si>
    <t>C9565</t>
  </si>
  <si>
    <t>C7441</t>
  </si>
  <si>
    <t>C9507</t>
  </si>
  <si>
    <t>C8206</t>
  </si>
  <si>
    <t>C1443</t>
  </si>
  <si>
    <t>C5126</t>
  </si>
  <si>
    <t>C5551</t>
  </si>
  <si>
    <t>C2542</t>
  </si>
  <si>
    <t>C9406</t>
  </si>
  <si>
    <t>C2302</t>
  </si>
  <si>
    <t>C4021</t>
  </si>
  <si>
    <t>C9444</t>
  </si>
  <si>
    <t>C6888</t>
  </si>
  <si>
    <t>C9685</t>
  </si>
  <si>
    <t>C2345</t>
  </si>
  <si>
    <t>C4742</t>
  </si>
  <si>
    <t>C5355</t>
  </si>
  <si>
    <t>C1776</t>
  </si>
  <si>
    <t>C8652</t>
  </si>
  <si>
    <t>C8301</t>
  </si>
  <si>
    <t>C7777</t>
  </si>
  <si>
    <t>C8064</t>
  </si>
  <si>
    <t>C6170</t>
  </si>
  <si>
    <t>C9159</t>
  </si>
  <si>
    <t>C8775</t>
  </si>
  <si>
    <t>C7545</t>
  </si>
  <si>
    <t>C1977</t>
  </si>
  <si>
    <t>C2654</t>
  </si>
  <si>
    <t>C9078</t>
  </si>
  <si>
    <t>C5974</t>
  </si>
  <si>
    <t>C1016</t>
  </si>
  <si>
    <t>C4304</t>
  </si>
  <si>
    <t>C7585</t>
  </si>
  <si>
    <t>C2912</t>
  </si>
  <si>
    <t>C5799</t>
  </si>
  <si>
    <t>C2467</t>
  </si>
  <si>
    <t>C4126</t>
  </si>
  <si>
    <t>C9437</t>
  </si>
  <si>
    <t>C9196</t>
  </si>
  <si>
    <t>C6054</t>
  </si>
  <si>
    <t>C7316</t>
  </si>
  <si>
    <t>C2289</t>
  </si>
  <si>
    <t>C2513</t>
  </si>
  <si>
    <t>C6323</t>
  </si>
  <si>
    <t>C3198</t>
  </si>
  <si>
    <t>C7289</t>
  </si>
  <si>
    <t>C5893</t>
  </si>
  <si>
    <t>C6161</t>
  </si>
  <si>
    <t>C5786</t>
  </si>
  <si>
    <t>C6619</t>
  </si>
  <si>
    <t>C2579</t>
  </si>
  <si>
    <t>C4758</t>
  </si>
  <si>
    <t>C6998</t>
  </si>
  <si>
    <t>C4858</t>
  </si>
  <si>
    <t>C4151</t>
  </si>
  <si>
    <t>C9407</t>
  </si>
  <si>
    <t>C6536</t>
  </si>
  <si>
    <t>C4673</t>
  </si>
  <si>
    <t>C5867</t>
  </si>
  <si>
    <t>C7964</t>
  </si>
  <si>
    <t>C5509</t>
  </si>
  <si>
    <t>C3149</t>
  </si>
  <si>
    <t>C7638</t>
  </si>
  <si>
    <t>C2392</t>
  </si>
  <si>
    <t>C2511</t>
  </si>
  <si>
    <t>C7684</t>
  </si>
  <si>
    <t>C4443</t>
  </si>
  <si>
    <t>C3113</t>
  </si>
  <si>
    <t>C7085</t>
  </si>
  <si>
    <t>C4918</t>
  </si>
  <si>
    <t>C8694</t>
  </si>
  <si>
    <t>C7957</t>
  </si>
  <si>
    <t>C8201</t>
  </si>
  <si>
    <t>C2815</t>
  </si>
  <si>
    <t>C9442</t>
  </si>
  <si>
    <t>C8275</t>
  </si>
  <si>
    <t>C5106</t>
  </si>
  <si>
    <t>C3250</t>
  </si>
  <si>
    <t>C5863</t>
  </si>
  <si>
    <t>C1374</t>
  </si>
  <si>
    <t>C6001</t>
  </si>
  <si>
    <t>C5464</t>
  </si>
  <si>
    <t>C9456</t>
  </si>
  <si>
    <t>C3709</t>
  </si>
  <si>
    <t>C2776</t>
  </si>
  <si>
    <t>C7309</t>
  </si>
  <si>
    <t>C5184</t>
  </si>
  <si>
    <t>C1907</t>
  </si>
  <si>
    <t>C6262</t>
  </si>
  <si>
    <t>C3260</t>
  </si>
  <si>
    <t>C3184</t>
  </si>
  <si>
    <t>C3560</t>
  </si>
  <si>
    <t>C8146</t>
  </si>
  <si>
    <t>C8832</t>
  </si>
  <si>
    <t>C8333</t>
  </si>
  <si>
    <t>C3066</t>
  </si>
  <si>
    <t>C9653</t>
  </si>
  <si>
    <t>C4049</t>
  </si>
  <si>
    <t>C6722</t>
  </si>
  <si>
    <t>C8564</t>
  </si>
  <si>
    <t>C2229</t>
  </si>
  <si>
    <t>C7016</t>
  </si>
  <si>
    <t>C2277</t>
  </si>
  <si>
    <t>C9925</t>
  </si>
  <si>
    <t>C8069</t>
  </si>
  <si>
    <t>C6313</t>
  </si>
  <si>
    <t>C2584</t>
  </si>
  <si>
    <t>C7184</t>
  </si>
  <si>
    <t>C4649</t>
  </si>
  <si>
    <t>C6016</t>
  </si>
  <si>
    <t>C9617</t>
  </si>
  <si>
    <t>C5089</t>
  </si>
  <si>
    <t>C1271</t>
  </si>
  <si>
    <t>C1295</t>
  </si>
  <si>
    <t>C7483</t>
  </si>
  <si>
    <t>C4814</t>
  </si>
  <si>
    <t>C9521</t>
  </si>
  <si>
    <t>C7686</t>
  </si>
  <si>
    <t>C4373</t>
  </si>
  <si>
    <t>C3819</t>
  </si>
  <si>
    <t>C9883</t>
  </si>
  <si>
    <t>C9075</t>
  </si>
  <si>
    <t>C2922</t>
  </si>
  <si>
    <t>C3815</t>
  </si>
  <si>
    <t>C7254</t>
  </si>
  <si>
    <t>C4388</t>
  </si>
  <si>
    <t>C1436</t>
  </si>
  <si>
    <t>C9851</t>
  </si>
  <si>
    <t>C4623</t>
  </si>
  <si>
    <t>C8324</t>
  </si>
  <si>
    <t>C8198</t>
  </si>
  <si>
    <t>C3462</t>
  </si>
  <si>
    <t>C6420</t>
  </si>
  <si>
    <t>C7823</t>
  </si>
  <si>
    <t>C4446</t>
  </si>
  <si>
    <t>C5360</t>
  </si>
  <si>
    <t>C5098</t>
  </si>
  <si>
    <t>C1844</t>
  </si>
  <si>
    <t>C9292</t>
  </si>
  <si>
    <t>C7603</t>
  </si>
  <si>
    <t>C1781</t>
  </si>
  <si>
    <t>C6364</t>
  </si>
  <si>
    <t>C3038</t>
  </si>
  <si>
    <t>C3875</t>
  </si>
  <si>
    <t>C7903</t>
  </si>
  <si>
    <t>C6847</t>
  </si>
  <si>
    <t>C6264</t>
  </si>
  <si>
    <t>C5730</t>
  </si>
  <si>
    <t>C7082</t>
  </si>
  <si>
    <t>C6980</t>
  </si>
  <si>
    <t>C8682</t>
  </si>
  <si>
    <t>C1318</t>
  </si>
  <si>
    <t>C8400</t>
  </si>
  <si>
    <t>C7751</t>
  </si>
  <si>
    <t>C3976</t>
  </si>
  <si>
    <t>C2331</t>
  </si>
  <si>
    <t>C7887</t>
  </si>
  <si>
    <t>C5376</t>
  </si>
  <si>
    <t>C9549</t>
  </si>
  <si>
    <t>C7291</t>
  </si>
  <si>
    <t>C2865</t>
  </si>
  <si>
    <t>C9025</t>
  </si>
  <si>
    <t>C6586</t>
  </si>
  <si>
    <t>C6960</t>
  </si>
  <si>
    <t>C4462</t>
  </si>
  <si>
    <t>C2008</t>
  </si>
  <si>
    <t>C6331</t>
  </si>
  <si>
    <t>C6876</t>
  </si>
  <si>
    <t>C3397</t>
  </si>
  <si>
    <t>C2778</t>
  </si>
  <si>
    <t>C4168</t>
  </si>
  <si>
    <t>C7744</t>
  </si>
  <si>
    <t>C4011</t>
  </si>
  <si>
    <t>C9081</t>
  </si>
  <si>
    <t>C7095</t>
  </si>
  <si>
    <t>C1402</t>
  </si>
  <si>
    <t>C5501</t>
  </si>
  <si>
    <t>C6335</t>
  </si>
  <si>
    <t>C3266</t>
  </si>
  <si>
    <t>C7886</t>
  </si>
  <si>
    <t>C1215</t>
  </si>
  <si>
    <t>C8461</t>
  </si>
  <si>
    <t>C2021</t>
  </si>
  <si>
    <t>C1521</t>
  </si>
  <si>
    <t>C1421</t>
  </si>
  <si>
    <t>C9896</t>
  </si>
  <si>
    <t>C3371</t>
  </si>
  <si>
    <t>C8913</t>
  </si>
  <si>
    <t>C2047</t>
  </si>
  <si>
    <t>C4081</t>
  </si>
  <si>
    <t>C9656</t>
  </si>
  <si>
    <t>C9652</t>
  </si>
  <si>
    <t>C7008</t>
  </si>
  <si>
    <t>C4483</t>
  </si>
  <si>
    <t>C2063</t>
  </si>
  <si>
    <t>C7044</t>
  </si>
  <si>
    <t>C5926</t>
  </si>
  <si>
    <t>C5253</t>
  </si>
  <si>
    <t>C2844</t>
  </si>
  <si>
    <t>C2152</t>
  </si>
  <si>
    <t>C9483</t>
  </si>
  <si>
    <t>C8269</t>
  </si>
  <si>
    <t>C7738</t>
  </si>
  <si>
    <t>C2732</t>
  </si>
  <si>
    <t>C6327</t>
  </si>
  <si>
    <t>C6171</t>
  </si>
  <si>
    <t>C6343</t>
  </si>
  <si>
    <t>C1269</t>
  </si>
  <si>
    <t>C3018</t>
  </si>
  <si>
    <t>C2333</t>
  </si>
  <si>
    <t>C8939</t>
  </si>
  <si>
    <t>C9734</t>
  </si>
  <si>
    <t>C1113</t>
  </si>
  <si>
    <t>C6093</t>
  </si>
  <si>
    <t>C8185</t>
  </si>
  <si>
    <t>C6574</t>
  </si>
  <si>
    <t>C1391</t>
  </si>
  <si>
    <t>C1845</t>
  </si>
  <si>
    <t>C4477</t>
  </si>
  <si>
    <t>C9914</t>
  </si>
  <si>
    <t>C3537</t>
  </si>
  <si>
    <t>C8422</t>
  </si>
  <si>
    <t>C7781</t>
  </si>
  <si>
    <t>C2613</t>
  </si>
  <si>
    <t>C3194</t>
  </si>
  <si>
    <t>C2462</t>
  </si>
  <si>
    <t>C9632</t>
  </si>
  <si>
    <t>C2295</t>
  </si>
  <si>
    <t>C7435</t>
  </si>
  <si>
    <t>C2475</t>
  </si>
  <si>
    <t>C1261</t>
  </si>
  <si>
    <t>C1467</t>
  </si>
  <si>
    <t>C4544</t>
  </si>
  <si>
    <t>C6933</t>
  </si>
  <si>
    <t>C5290</t>
  </si>
  <si>
    <t>C6564</t>
  </si>
  <si>
    <t>C6930</t>
  </si>
  <si>
    <t>C9182</t>
  </si>
  <si>
    <t>C9504</t>
  </si>
  <si>
    <t>C6389</t>
  </si>
  <si>
    <t>C4575</t>
  </si>
  <si>
    <t>C1403</t>
  </si>
  <si>
    <t>C6155</t>
  </si>
  <si>
    <t>C4643</t>
  </si>
  <si>
    <t>C8154</t>
  </si>
  <si>
    <t>C3852</t>
  </si>
  <si>
    <t>C9659</t>
  </si>
  <si>
    <t>C3117</t>
  </si>
  <si>
    <t>C9821</t>
  </si>
  <si>
    <t>C1949</t>
  </si>
  <si>
    <t>C5687</t>
  </si>
  <si>
    <t>C2480</t>
  </si>
  <si>
    <t>C6282</t>
  </si>
  <si>
    <t>C4496</t>
  </si>
  <si>
    <t>C7474</t>
  </si>
  <si>
    <t>C1312</t>
  </si>
  <si>
    <t>C8731</t>
  </si>
  <si>
    <t>C5918</t>
  </si>
  <si>
    <t>C4260</t>
  </si>
  <si>
    <t>C6898</t>
  </si>
  <si>
    <t>C6037</t>
  </si>
  <si>
    <t>C7952</t>
  </si>
  <si>
    <t>C7245</t>
  </si>
  <si>
    <t>C4190</t>
  </si>
  <si>
    <t>C3906</t>
  </si>
  <si>
    <t>C5591</t>
  </si>
  <si>
    <t>C6943</t>
  </si>
  <si>
    <t>C9179</t>
  </si>
  <si>
    <t>C6911</t>
  </si>
  <si>
    <t>C7673</t>
  </si>
  <si>
    <t>C6088</t>
  </si>
  <si>
    <t>C2043</t>
  </si>
  <si>
    <t>C6245</t>
  </si>
  <si>
    <t>C8823</t>
  </si>
  <si>
    <t>C9589</t>
  </si>
  <si>
    <t>C6920</t>
  </si>
  <si>
    <t>C4370</t>
  </si>
  <si>
    <t>C3604</t>
  </si>
  <si>
    <t>C3857</t>
  </si>
  <si>
    <t>C3731</t>
  </si>
  <si>
    <t>C1543</t>
  </si>
  <si>
    <t>C6774</t>
  </si>
  <si>
    <t>C1777</t>
  </si>
  <si>
    <t>C8341</t>
  </si>
  <si>
    <t>C7804</t>
  </si>
  <si>
    <t>C5914</t>
  </si>
  <si>
    <t>C7682</t>
  </si>
  <si>
    <t>C1747</t>
  </si>
  <si>
    <t>C2370</t>
  </si>
  <si>
    <t>C4490</t>
  </si>
  <si>
    <t>C7493</t>
  </si>
  <si>
    <t>C7599</t>
  </si>
  <si>
    <t>C6207</t>
  </si>
  <si>
    <t>C5518</t>
  </si>
  <si>
    <t>C3961</t>
  </si>
  <si>
    <t>C6192</t>
  </si>
  <si>
    <t>C5356</t>
  </si>
  <si>
    <t>C4551</t>
  </si>
  <si>
    <t>C8758</t>
  </si>
  <si>
    <t>C7530</t>
  </si>
  <si>
    <t>C7668</t>
  </si>
  <si>
    <t>C2050</t>
  </si>
  <si>
    <t>C8657</t>
  </si>
  <si>
    <t>C1915</t>
  </si>
  <si>
    <t>C4837</t>
  </si>
  <si>
    <t>C6305</t>
  </si>
  <si>
    <t>C5871</t>
  </si>
  <si>
    <t>C8178</t>
  </si>
  <si>
    <t>C9742</t>
  </si>
  <si>
    <t>C3805</t>
  </si>
  <si>
    <t>C2683</t>
  </si>
  <si>
    <t>C5636</t>
  </si>
  <si>
    <t>C9566</t>
  </si>
  <si>
    <t>C4648</t>
  </si>
  <si>
    <t>C1798</t>
  </si>
  <si>
    <t>C7940</t>
  </si>
  <si>
    <t>C2883</t>
  </si>
  <si>
    <t>C9028</t>
  </si>
  <si>
    <t>C5745</t>
  </si>
  <si>
    <t>C2754</t>
  </si>
  <si>
    <t>C1170</t>
  </si>
  <si>
    <t>C3725</t>
  </si>
  <si>
    <t>C7698</t>
  </si>
  <si>
    <t>C4942</t>
  </si>
  <si>
    <t>C9964</t>
  </si>
  <si>
    <t>C3291</t>
  </si>
  <si>
    <t>C7882</t>
  </si>
  <si>
    <t>C8212</t>
  </si>
  <si>
    <t>C2802</t>
  </si>
  <si>
    <t>C6486</t>
  </si>
  <si>
    <t>C9761</t>
  </si>
  <si>
    <t>C9471</t>
  </si>
  <si>
    <t>C4835</t>
  </si>
  <si>
    <t>C9298</t>
  </si>
  <si>
    <t>C3388</t>
  </si>
  <si>
    <t>C4515</t>
  </si>
  <si>
    <t>C9056</t>
  </si>
  <si>
    <t>C7683</t>
  </si>
  <si>
    <t>C7063</t>
  </si>
  <si>
    <t>C4700</t>
  </si>
  <si>
    <t>C4020</t>
  </si>
  <si>
    <t>C7030</t>
  </si>
  <si>
    <t>C5031</t>
  </si>
  <si>
    <t>C3776</t>
  </si>
  <si>
    <t>C9195</t>
  </si>
  <si>
    <t>C3133</t>
  </si>
  <si>
    <t>C4616</t>
  </si>
  <si>
    <t>C5775</t>
  </si>
  <si>
    <t>C8873</t>
  </si>
  <si>
    <t>C8071</t>
  </si>
  <si>
    <t>C3433</t>
  </si>
  <si>
    <t>C6858</t>
  </si>
  <si>
    <t>C2518</t>
  </si>
  <si>
    <t>C4501</t>
  </si>
  <si>
    <t>C2185</t>
  </si>
  <si>
    <t>C5785</t>
  </si>
  <si>
    <t>C1154</t>
  </si>
  <si>
    <t>C3679</t>
  </si>
  <si>
    <t>C6503</t>
  </si>
  <si>
    <t>C6544</t>
  </si>
  <si>
    <t>C3788</t>
  </si>
  <si>
    <t>C9563</t>
  </si>
  <si>
    <t>C4954</t>
  </si>
  <si>
    <t>C6972</t>
  </si>
  <si>
    <t>C8917</t>
  </si>
  <si>
    <t>C5391</t>
  </si>
  <si>
    <t>C1404</t>
  </si>
  <si>
    <t>C6954</t>
  </si>
  <si>
    <t>C7985</t>
  </si>
  <si>
    <t>C1626</t>
  </si>
  <si>
    <t>C5254</t>
  </si>
  <si>
    <t>C7384</t>
  </si>
  <si>
    <t>C1414</t>
  </si>
  <si>
    <t>C4843</t>
  </si>
  <si>
    <t>C4818</t>
  </si>
  <si>
    <t>C9256</t>
  </si>
  <si>
    <t>C4894</t>
  </si>
  <si>
    <t>C9332</t>
  </si>
  <si>
    <t>C9468</t>
  </si>
  <si>
    <t>C4953</t>
  </si>
  <si>
    <t>C8446</t>
  </si>
  <si>
    <t>C1030</t>
  </si>
  <si>
    <t>C2551</t>
  </si>
  <si>
    <t>C2853</t>
  </si>
  <si>
    <t>C7299</t>
  </si>
  <si>
    <t>C7313</t>
  </si>
  <si>
    <t>C8805</t>
  </si>
  <si>
    <t>C3271</t>
  </si>
  <si>
    <t>C2904</t>
  </si>
  <si>
    <t>C4507</t>
  </si>
  <si>
    <t>C7552</t>
  </si>
  <si>
    <t>C8600</t>
  </si>
  <si>
    <t>C9532</t>
  </si>
  <si>
    <t>C6620</t>
  </si>
  <si>
    <t>C1825</t>
  </si>
  <si>
    <t>C9768</t>
  </si>
  <si>
    <t>C6757</t>
  </si>
  <si>
    <t>C4951</t>
  </si>
  <si>
    <t>C7980</t>
  </si>
  <si>
    <t>C5375</t>
  </si>
  <si>
    <t>C5409</t>
  </si>
  <si>
    <t>C3299</t>
  </si>
  <si>
    <t>C7796</t>
  </si>
  <si>
    <t>C5828</t>
  </si>
  <si>
    <t>C7066</t>
  </si>
  <si>
    <t>C8783</t>
  </si>
  <si>
    <t>C2024</t>
  </si>
  <si>
    <t>C5157</t>
  </si>
  <si>
    <t>C3835</t>
  </si>
  <si>
    <t>C9216</t>
  </si>
  <si>
    <t>C2438</t>
  </si>
  <si>
    <t>C3512</t>
  </si>
  <si>
    <t>C9678</t>
  </si>
  <si>
    <t>C6112</t>
  </si>
  <si>
    <t>C5348</t>
  </si>
  <si>
    <t>C8062</t>
  </si>
  <si>
    <t>C4634</t>
  </si>
  <si>
    <t>C7294</t>
  </si>
  <si>
    <t>C1689</t>
  </si>
  <si>
    <t>C3821</t>
  </si>
  <si>
    <t>C1488</t>
  </si>
  <si>
    <t>C7697</t>
  </si>
  <si>
    <t>C8878</t>
  </si>
  <si>
    <t>C4473</t>
  </si>
  <si>
    <t>C4632</t>
  </si>
  <si>
    <t>C2406</t>
  </si>
  <si>
    <t>C2061</t>
  </si>
  <si>
    <t>C6656</t>
  </si>
  <si>
    <t>C4658</t>
  </si>
  <si>
    <t>C1732</t>
  </si>
  <si>
    <t>C8500</t>
  </si>
  <si>
    <t>C4691</t>
  </si>
  <si>
    <t>C8830</t>
  </si>
  <si>
    <t>C3855</t>
  </si>
  <si>
    <t>C5061</t>
  </si>
  <si>
    <t>C1941</t>
  </si>
  <si>
    <t>C4701</t>
  </si>
  <si>
    <t>C4220</t>
  </si>
  <si>
    <t>C5453</t>
  </si>
  <si>
    <t>C9698</t>
  </si>
  <si>
    <t>C2378</t>
  </si>
  <si>
    <t>C8540</t>
  </si>
  <si>
    <t>C6434</t>
  </si>
  <si>
    <t>C8996</t>
  </si>
  <si>
    <t>C7235</t>
  </si>
  <si>
    <t>C3419</t>
  </si>
  <si>
    <t>C4900</t>
  </si>
  <si>
    <t>C8057</t>
  </si>
  <si>
    <t>C8856</t>
  </si>
  <si>
    <t>C7768</t>
  </si>
  <si>
    <t>C4478</t>
  </si>
  <si>
    <t>C1693</t>
  </si>
  <si>
    <t>C4670</t>
  </si>
  <si>
    <t>C8897</t>
  </si>
  <si>
    <t>C4938</t>
  </si>
  <si>
    <t>C6635</t>
  </si>
  <si>
    <t>C5841</t>
  </si>
  <si>
    <t>C7167</t>
  </si>
  <si>
    <t>C5816</t>
  </si>
  <si>
    <t>C6060</t>
  </si>
  <si>
    <t>C8993</t>
  </si>
  <si>
    <t>C3524</t>
  </si>
  <si>
    <t>C7251</t>
  </si>
  <si>
    <t>C6424</t>
  </si>
  <si>
    <t>C6225</t>
  </si>
  <si>
    <t>C6458</t>
  </si>
  <si>
    <t>C8037</t>
  </si>
  <si>
    <t>C8225</t>
  </si>
  <si>
    <t>C7625</t>
  </si>
  <si>
    <t>C3485</t>
  </si>
  <si>
    <t>C4604</t>
  </si>
  <si>
    <t>C5166</t>
  </si>
  <si>
    <t>C3728</t>
  </si>
  <si>
    <t>C6175</t>
  </si>
  <si>
    <t>C6958</t>
  </si>
  <si>
    <t>C1045</t>
  </si>
  <si>
    <t>C2283</t>
  </si>
  <si>
    <t>C6579</t>
  </si>
  <si>
    <t>C4712</t>
  </si>
  <si>
    <t>C1205</t>
  </si>
  <si>
    <t>C2860</t>
  </si>
  <si>
    <t>C3816</t>
  </si>
  <si>
    <t>C8647</t>
  </si>
  <si>
    <t>C2962</t>
  </si>
  <si>
    <t>C5901</t>
  </si>
  <si>
    <t>C3139</t>
  </si>
  <si>
    <t>C2890</t>
  </si>
  <si>
    <t>C8569</t>
  </si>
  <si>
    <t>C1728</t>
  </si>
  <si>
    <t>C5374</t>
  </si>
  <si>
    <t>C5898</t>
  </si>
  <si>
    <t>C8828</t>
  </si>
  <si>
    <t>C9235</t>
  </si>
  <si>
    <t>C4107</t>
  </si>
  <si>
    <t>C1837</t>
  </si>
  <si>
    <t>C9495</t>
  </si>
  <si>
    <t>C5800</t>
  </si>
  <si>
    <t>C9353</t>
  </si>
  <si>
    <t>C4903</t>
  </si>
  <si>
    <t>C4905</t>
  </si>
  <si>
    <t>C6144</t>
  </si>
  <si>
    <t>C8950</t>
  </si>
  <si>
    <t>C4150</t>
  </si>
  <si>
    <t>C4958</t>
  </si>
  <si>
    <t>C3518</t>
  </si>
  <si>
    <t>C7003</t>
  </si>
  <si>
    <t>C8242</t>
  </si>
  <si>
    <t>C2009</t>
  </si>
  <si>
    <t>C8566</t>
  </si>
  <si>
    <t>C3362</t>
  </si>
  <si>
    <t>C5081</t>
  </si>
  <si>
    <t>C9121</t>
  </si>
  <si>
    <t>C9026</t>
  </si>
  <si>
    <t>C9389</t>
  </si>
  <si>
    <t>C7436</t>
  </si>
  <si>
    <t>C7120</t>
  </si>
  <si>
    <t>C9005</t>
  </si>
  <si>
    <t>C2230</t>
  </si>
  <si>
    <t>C5065</t>
  </si>
  <si>
    <t>C5388</t>
  </si>
  <si>
    <t>C9492</t>
  </si>
  <si>
    <t>C5167</t>
  </si>
  <si>
    <t>C9997</t>
  </si>
  <si>
    <t>C2367</t>
  </si>
  <si>
    <t>C9234</t>
  </si>
  <si>
    <t>C5063</t>
  </si>
  <si>
    <t>C1330</t>
  </si>
  <si>
    <t>C1667</t>
  </si>
  <si>
    <t>C8072</t>
  </si>
  <si>
    <t>C2028</t>
  </si>
  <si>
    <t>C2737</t>
  </si>
  <si>
    <t>C2164</t>
  </si>
  <si>
    <t>C7841</t>
  </si>
  <si>
    <t>C7255</t>
  </si>
  <si>
    <t>C6942</t>
  </si>
  <si>
    <t>C8615</t>
  </si>
  <si>
    <t>C8029</t>
  </si>
  <si>
    <t>C9247</t>
  </si>
  <si>
    <t>C9086</t>
  </si>
  <si>
    <t>C9370</t>
  </si>
  <si>
    <t>C4301</t>
  </si>
  <si>
    <t>C6787</t>
  </si>
  <si>
    <t>C9384</t>
  </si>
  <si>
    <t>C6973</t>
  </si>
  <si>
    <t>C7221</t>
  </si>
  <si>
    <t>C8915</t>
  </si>
  <si>
    <t>C6475</t>
  </si>
  <si>
    <t>C3955</t>
  </si>
  <si>
    <t>C6384</t>
  </si>
  <si>
    <t>C2097</t>
  </si>
  <si>
    <t>C1651</t>
  </si>
  <si>
    <t>C1918</t>
  </si>
  <si>
    <t>C9336</t>
  </si>
  <si>
    <t>C5781</t>
  </si>
  <si>
    <t>C9732</t>
  </si>
  <si>
    <t>C1892</t>
  </si>
  <si>
    <t>C1533</t>
  </si>
  <si>
    <t>C2505</t>
  </si>
  <si>
    <t>C7772</t>
  </si>
  <si>
    <t>C7504</t>
  </si>
  <si>
    <t>C2314</t>
  </si>
  <si>
    <t>C5529</t>
  </si>
  <si>
    <t>C8297</t>
  </si>
  <si>
    <t>C4321</t>
  </si>
  <si>
    <t>C4071</t>
  </si>
  <si>
    <t>C6307</t>
  </si>
  <si>
    <t>C9986</t>
  </si>
  <si>
    <t>C6932</t>
  </si>
  <si>
    <t>C3055</t>
  </si>
  <si>
    <t>C2502</t>
  </si>
  <si>
    <t>C1432</t>
  </si>
  <si>
    <t>C9198</t>
  </si>
  <si>
    <t>C2069</t>
  </si>
  <si>
    <t>C7798</t>
  </si>
  <si>
    <t>C3574</t>
  </si>
  <si>
    <t>C4627</t>
  </si>
  <si>
    <t>C9826</t>
  </si>
  <si>
    <t>C5165</t>
  </si>
  <si>
    <t>C6702</t>
  </si>
  <si>
    <t>C8373</t>
  </si>
  <si>
    <t>C2180</t>
  </si>
  <si>
    <t>C5552</t>
  </si>
  <si>
    <t>C6432</t>
  </si>
  <si>
    <t>C6952</t>
  </si>
  <si>
    <t>C7629</t>
  </si>
  <si>
    <t>C5960</t>
  </si>
  <si>
    <t>C1188</t>
  </si>
  <si>
    <t>C1539</t>
  </si>
  <si>
    <t>C7272</t>
  </si>
  <si>
    <t>C1376</t>
  </si>
  <si>
    <t>C5182</t>
  </si>
  <si>
    <t>C3944</t>
  </si>
  <si>
    <t>C4719</t>
  </si>
  <si>
    <t>C2635</t>
  </si>
  <si>
    <t>C5110</t>
  </si>
  <si>
    <t>C1584</t>
  </si>
  <si>
    <t>C7285</t>
  </si>
  <si>
    <t>C2079</t>
  </si>
  <si>
    <t>C8989</t>
  </si>
  <si>
    <t>C2570</t>
  </si>
  <si>
    <t>C1955</t>
  </si>
  <si>
    <t>C4806</t>
  </si>
  <si>
    <t>C4813</t>
  </si>
  <si>
    <t>C3812</t>
  </si>
  <si>
    <t>C2673</t>
  </si>
  <si>
    <t>C5844</t>
  </si>
  <si>
    <t>C8172</t>
  </si>
  <si>
    <t>C6385</t>
  </si>
  <si>
    <t>C2423</t>
  </si>
  <si>
    <t>C4015</t>
  </si>
  <si>
    <t>C2978</t>
  </si>
  <si>
    <t>C3477</t>
  </si>
  <si>
    <t>C6549</t>
  </si>
  <si>
    <t>C7261</t>
  </si>
  <si>
    <t>C3936</t>
  </si>
  <si>
    <t>C8552</t>
  </si>
  <si>
    <t>C3425</t>
  </si>
  <si>
    <t>C9219</t>
  </si>
  <si>
    <t>C2588</t>
  </si>
  <si>
    <t>C8827</t>
  </si>
  <si>
    <t>C9926</t>
  </si>
  <si>
    <t>C7679</t>
  </si>
  <si>
    <t>C7780</t>
  </si>
  <si>
    <t>C6979</t>
  </si>
  <si>
    <t>C5566</t>
  </si>
  <si>
    <t>C8137</t>
  </si>
  <si>
    <t>C8684</t>
  </si>
  <si>
    <t>C3708</t>
  </si>
  <si>
    <t>C1451</t>
  </si>
  <si>
    <t>C2857</t>
  </si>
  <si>
    <t>C7587</t>
  </si>
  <si>
    <t>C7224</t>
  </si>
  <si>
    <t>C3196</t>
  </si>
  <si>
    <t>C5474</t>
  </si>
  <si>
    <t>C4164</t>
  </si>
  <si>
    <t>C2868</t>
  </si>
  <si>
    <t>C5362</t>
  </si>
  <si>
    <t>C6916</t>
  </si>
  <si>
    <t>C3129</t>
  </si>
  <si>
    <t>C1619</t>
  </si>
  <si>
    <t>C3663</t>
  </si>
  <si>
    <t>C4855</t>
  </si>
  <si>
    <t>C3965</t>
  </si>
  <si>
    <t>C1444</t>
  </si>
  <si>
    <t>C1267</t>
  </si>
  <si>
    <t>C5938</t>
  </si>
  <si>
    <t>C5018</t>
  </si>
  <si>
    <t>C3086</t>
  </si>
  <si>
    <t>C4101</t>
  </si>
  <si>
    <t>C4687</t>
  </si>
  <si>
    <t>C5583</t>
  </si>
  <si>
    <t>C6298</t>
  </si>
  <si>
    <t>C2389</t>
  </si>
  <si>
    <t>C4886</t>
  </si>
  <si>
    <t>C2713</t>
  </si>
  <si>
    <t>C2213</t>
  </si>
  <si>
    <t>C6875</t>
  </si>
  <si>
    <t>C8933</t>
  </si>
  <si>
    <t>C8087</t>
  </si>
  <si>
    <t>C3901</t>
  </si>
  <si>
    <t>C3535</t>
  </si>
  <si>
    <t>C2219</t>
  </si>
  <si>
    <t>C9317</t>
  </si>
  <si>
    <t>C9382</t>
  </si>
  <si>
    <t>C1972</t>
  </si>
  <si>
    <t>C6410</t>
  </si>
  <si>
    <t>C6789</t>
  </si>
  <si>
    <t>C8230</t>
  </si>
  <si>
    <t>C6969</t>
  </si>
  <si>
    <t>C9192</t>
  </si>
  <si>
    <t>C6315</t>
  </si>
  <si>
    <t>C8998</t>
  </si>
  <si>
    <t>C9355</t>
  </si>
  <si>
    <t>C2450</t>
  </si>
  <si>
    <t>C5330</t>
  </si>
  <si>
    <t>C3285</t>
  </si>
  <si>
    <t>D. Patel</t>
  </si>
  <si>
    <t>A. Singh</t>
  </si>
  <si>
    <t>B. Murphy</t>
  </si>
  <si>
    <t>E. Khan</t>
  </si>
  <si>
    <t>G. Novak</t>
  </si>
  <si>
    <t>H. Dubois</t>
  </si>
  <si>
    <t>C. O'Brien</t>
  </si>
  <si>
    <t>F. Walsh</t>
  </si>
  <si>
    <t>Headphones</t>
  </si>
  <si>
    <t>Laptop</t>
  </si>
  <si>
    <t>Smartwatch</t>
  </si>
  <si>
    <t>Camera</t>
  </si>
  <si>
    <t>Tablet</t>
  </si>
  <si>
    <t>Smartphone</t>
  </si>
  <si>
    <t>Online</t>
  </si>
  <si>
    <t>Partner</t>
  </si>
  <si>
    <t>Retail Store</t>
  </si>
  <si>
    <t>Credit Card</t>
  </si>
  <si>
    <t>Debit Card</t>
  </si>
  <si>
    <t>PayPal</t>
  </si>
  <si>
    <t>Bank Transfer</t>
  </si>
  <si>
    <t>All</t>
  </si>
  <si>
    <t>Total Revenue</t>
  </si>
  <si>
    <t>country_list</t>
  </si>
  <si>
    <t>country_list_sorted</t>
  </si>
  <si>
    <t>Products</t>
  </si>
  <si>
    <t>Total Order</t>
  </si>
  <si>
    <t>Average Order Value</t>
  </si>
  <si>
    <t>Median Revenue</t>
  </si>
  <si>
    <t>Sales Analysis Dashboard</t>
  </si>
  <si>
    <t>Category</t>
  </si>
  <si>
    <t>Sales channel</t>
  </si>
  <si>
    <t>Offline</t>
  </si>
  <si>
    <t>Sales Channel</t>
  </si>
  <si>
    <t>Payment</t>
  </si>
  <si>
    <t>Payment Methods</t>
  </si>
  <si>
    <t>Check</t>
  </si>
  <si>
    <t>total revenue</t>
  </si>
  <si>
    <t>Sales_Channel _updated</t>
  </si>
  <si>
    <t>MonthYear</t>
  </si>
  <si>
    <t>Gross Profit Margin</t>
  </si>
  <si>
    <t>Average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</si>
</sst>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€-2]\ * #,##0.0_);_([$€-2]\ * \(#,##0.0\);_([$€-2]\ * &quot;-&quot;??_);_(@_)"/>
    <numFmt numFmtId="165" formatCode="_([$€-2]\ * #,##0.00_);_([$€-2]\ * \(#,##0.00\);_([$€-2]\ * &quot;-&quot;??_);_(@_)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5"/>
      <color theme="3"/>
      <name val="Arial"/>
      <family val="2"/>
    </font>
    <font>
      <sz val="11"/>
      <color theme="1"/>
      <name val="SF Pro"/>
    </font>
    <font>
      <b/>
      <sz val="36"/>
      <color theme="1"/>
      <name val="SF Pr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5" fillId="0" borderId="2" applyNumberFormat="0" applyFill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6" fillId="0" borderId="0" xfId="0" applyFont="1"/>
    <xf numFmtId="44" fontId="6" fillId="0" borderId="0" xfId="1" applyFont="1"/>
    <xf numFmtId="164" fontId="6" fillId="0" borderId="0" xfId="0" applyNumberFormat="1" applyFont="1"/>
    <xf numFmtId="165" fontId="6" fillId="0" borderId="0" xfId="1" applyNumberFormat="1" applyFont="1"/>
    <xf numFmtId="9" fontId="0" fillId="0" borderId="0" xfId="3" applyFont="1"/>
    <xf numFmtId="166" fontId="0" fillId="0" borderId="0" xfId="3" applyNumberFormat="1" applyFont="1"/>
    <xf numFmtId="9" fontId="6" fillId="0" borderId="0" xfId="0" applyNumberFormat="1" applyFont="1"/>
    <xf numFmtId="0" fontId="6" fillId="0" borderId="0" xfId="0" applyFont="1" applyProtection="1">
      <protection locked="0"/>
    </xf>
    <xf numFmtId="0" fontId="7" fillId="0" borderId="3" xfId="2" applyFont="1" applyBorder="1" applyAlignment="1">
      <alignment horizontal="center"/>
    </xf>
  </cellXfs>
  <cellStyles count="4">
    <cellStyle name="Currency" xfId="1" builtinId="4"/>
    <cellStyle name="Heading 1" xfId="2" builtinId="16"/>
    <cellStyle name="Normal" xfId="0" builtinId="0"/>
    <cellStyle name="Per cent" xfId="3" builtinId="5"/>
  </cellStyles>
  <dxfs count="10">
    <dxf>
      <numFmt numFmtId="166" formatCode="0.0%"/>
    </dxf>
    <dxf>
      <numFmt numFmtId="164" formatCode="_([$€-2]\ * #,##0.0_);_([$€-2]\ * \(#,##0.0\);_([$€-2]\ * &quot;-&quot;??_);_(@_)"/>
    </dxf>
    <dxf>
      <numFmt numFmtId="164" formatCode="_([$€-2]\ * #,##0.0_);_([$€-2]\ * \(#,##0.0\);_([$€-2]\ * &quot;-&quot;??_);_(@_)"/>
    </dxf>
    <dxf>
      <numFmt numFmtId="164" formatCode="_([$€-2]\ * #,##0.0_);_([$€-2]\ * \(#,##0.0\);_([$€-2]\ * &quot;-&quot;??_);_(@_)"/>
    </dxf>
    <dxf>
      <numFmt numFmtId="164" formatCode="_([$€-2]\ * #,##0.0_);_([$€-2]\ * \(#,##0.0\);_([$€-2]\ * &quot;-&quot;??_);_(@_)"/>
    </dxf>
    <dxf>
      <numFmt numFmtId="164" formatCode="_([$€-2]\ * #,##0.0_);_([$€-2]\ * \(#,##0.0\);_([$€-2]\ * &quot;-&quot;??_);_(@_)"/>
    </dxf>
    <dxf>
      <numFmt numFmtId="164" formatCode="_([$€-2]\ * #,##0.0_);_([$€-2]\ * \(#,##0.0\);_([$€-2]\ 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454B51"/>
      <color rgb="FF495057"/>
      <color rgb="FFADB5BD"/>
      <color rgb="FFF8F9FA"/>
      <color rgb="FF6C757D"/>
      <color rgb="FF343A40"/>
      <color rgb="FF212529"/>
      <color rgb="FFFF4F96"/>
      <color rgb="FFF1FBFD"/>
      <color rgb="FFE1F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latin typeface="SF Pro" pitchFamily="2" charset="0"/>
                <a:ea typeface="SF Pro" pitchFamily="2" charset="0"/>
                <a:cs typeface="SF Pro" pitchFamily="2" charset="0"/>
              </a:rPr>
              <a:t>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00000">
                  <a:srgbClr val="212529"/>
                </a:gs>
                <a:gs pos="47000">
                  <a:srgbClr val="343A40"/>
                </a:gs>
                <a:gs pos="0">
                  <a:srgbClr val="495057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'Chart Helper'!$A$2:$A$5</c:f>
              <c:strCache>
                <c:ptCount val="4"/>
                <c:pt idx="0">
                  <c:v>Toulouse</c:v>
                </c:pt>
                <c:pt idx="1">
                  <c:v>Marseille</c:v>
                </c:pt>
                <c:pt idx="2">
                  <c:v>Lyon</c:v>
                </c:pt>
                <c:pt idx="3">
                  <c:v>Paris</c:v>
                </c:pt>
              </c:strCache>
            </c:strRef>
          </c:cat>
          <c:val>
            <c:numRef>
              <c:f>'Chart Helper'!$B$2:$B$5</c:f>
              <c:numCache>
                <c:formatCode>General</c:formatCode>
                <c:ptCount val="4"/>
                <c:pt idx="0">
                  <c:v>384490.19999999995</c:v>
                </c:pt>
                <c:pt idx="1">
                  <c:v>352866.09999999986</c:v>
                </c:pt>
                <c:pt idx="2">
                  <c:v>453671.85</c:v>
                </c:pt>
                <c:pt idx="3">
                  <c:v>392870.75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C-4B15-98D3-F3BDF938B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6395328"/>
        <c:axId val="2096395808"/>
      </c:barChart>
      <c:catAx>
        <c:axId val="209639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F Pro" pitchFamily="2" charset="0"/>
                <a:ea typeface="SF Pro" pitchFamily="2" charset="0"/>
                <a:cs typeface="SF Pro" pitchFamily="2" charset="0"/>
              </a:defRPr>
            </a:pPr>
            <a:endParaRPr lang="en-US"/>
          </a:p>
        </c:txPr>
        <c:crossAx val="2096395808"/>
        <c:crosses val="autoZero"/>
        <c:auto val="1"/>
        <c:lblAlgn val="ctr"/>
        <c:lblOffset val="100"/>
        <c:noMultiLvlLbl val="0"/>
      </c:catAx>
      <c:valAx>
        <c:axId val="209639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F Pro" pitchFamily="2" charset="0"/>
                <a:ea typeface="SF Pro" pitchFamily="2" charset="0"/>
                <a:cs typeface="SF Pro" pitchFamily="2" charset="0"/>
              </a:defRPr>
            </a:pPr>
            <a:endParaRPr lang="en-US"/>
          </a:p>
        </c:txPr>
        <c:crossAx val="209639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sq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Sales</a:t>
            </a:r>
            <a:r>
              <a:rPr lang="en-GB" baseline="0"/>
              <a:t> Channel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C757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AF-4556-B055-28F3F1C253A6}"/>
              </c:ext>
            </c:extLst>
          </c:dPt>
          <c:dPt>
            <c:idx val="1"/>
            <c:bubble3D val="0"/>
            <c:spPr>
              <a:solidFill>
                <a:srgbClr val="343A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AF-4556-B055-28F3F1C253A6}"/>
              </c:ext>
            </c:extLst>
          </c:dPt>
          <c:dLbls>
            <c:dLbl>
              <c:idx val="0"/>
              <c:layout>
                <c:manualLayout>
                  <c:x val="0.10883566485295797"/>
                  <c:y val="4.925490068904826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AF-4556-B055-28F3F1C253A6}"/>
                </c:ext>
              </c:extLst>
            </c:dLbl>
            <c:dLbl>
              <c:idx val="1"/>
              <c:layout>
                <c:manualLayout>
                  <c:x val="-8.0253042482424555E-2"/>
                  <c:y val="-7.62775105229293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03245585241793"/>
                      <c:h val="0.102892911919893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7AF-4556-B055-28F3F1C253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Helper'!$G$2:$G$3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'Chart Helper'!$H$2:$H$3</c:f>
              <c:numCache>
                <c:formatCode>General</c:formatCode>
                <c:ptCount val="2"/>
                <c:pt idx="0">
                  <c:v>20028.750000000004</c:v>
                </c:pt>
                <c:pt idx="1">
                  <c:v>45724.15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AF-4556-B055-28F3F1C253A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latin typeface="SF Pro" pitchFamily="2" charset="0"/>
                <a:ea typeface="SF Pro" pitchFamily="2" charset="0"/>
                <a:cs typeface="SF Pro" pitchFamily="2" charset="0"/>
              </a:rPr>
              <a:t>Average Gross Profit Margins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1"/>
            </a:solidFill>
          </c:spPr>
          <c:dPt>
            <c:idx val="0"/>
            <c:bubble3D val="0"/>
            <c:spPr>
              <a:solidFill>
                <a:srgbClr val="ADB5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40-42CE-AD92-21D4FF65804F}"/>
              </c:ext>
            </c:extLst>
          </c:dPt>
          <c:dPt>
            <c:idx val="1"/>
            <c:bubble3D val="0"/>
            <c:spPr>
              <a:solidFill>
                <a:srgbClr val="6C757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40-42CE-AD92-21D4FF65804F}"/>
              </c:ext>
            </c:extLst>
          </c:dPt>
          <c:dPt>
            <c:idx val="2"/>
            <c:bubble3D val="0"/>
            <c:spPr>
              <a:solidFill>
                <a:srgbClr val="454B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40-42CE-AD92-21D4FF65804F}"/>
              </c:ext>
            </c:extLst>
          </c:dPt>
          <c:dPt>
            <c:idx val="3"/>
            <c:bubble3D val="0"/>
            <c:spPr>
              <a:solidFill>
                <a:srgbClr val="2125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40-42CE-AD92-21D4FF65804F}"/>
              </c:ext>
            </c:extLst>
          </c:dPt>
          <c:dLbls>
            <c:dLbl>
              <c:idx val="0"/>
              <c:layout>
                <c:manualLayout>
                  <c:x val="6.8912158650717745E-2"/>
                  <c:y val="5.916392803840700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40-42CE-AD92-21D4FF65804F}"/>
                </c:ext>
              </c:extLst>
            </c:dLbl>
            <c:dLbl>
              <c:idx val="1"/>
              <c:layout>
                <c:manualLayout>
                  <c:x val="1.6032771277966294E-2"/>
                  <c:y val="4.489879941477818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40-42CE-AD92-21D4FF65804F}"/>
                </c:ext>
              </c:extLst>
            </c:dLbl>
            <c:dLbl>
              <c:idx val="2"/>
              <c:layout>
                <c:manualLayout>
                  <c:x val="-6.8119407287067488E-2"/>
                  <c:y val="3.577604270054478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40-42CE-AD92-21D4FF65804F}"/>
                </c:ext>
              </c:extLst>
            </c:dLbl>
            <c:dLbl>
              <c:idx val="3"/>
              <c:layout>
                <c:manualLayout>
                  <c:x val="-3.1337534555268776E-2"/>
                  <c:y val="-2.553467581258225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440-42CE-AD92-21D4FF6580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Helper'!$J$2:$J$5</c:f>
              <c:strCache>
                <c:ptCount val="4"/>
                <c:pt idx="0">
                  <c:v>Toulouse</c:v>
                </c:pt>
                <c:pt idx="1">
                  <c:v>Marseille</c:v>
                </c:pt>
                <c:pt idx="2">
                  <c:v>Lyon</c:v>
                </c:pt>
                <c:pt idx="3">
                  <c:v>Paris</c:v>
                </c:pt>
              </c:strCache>
            </c:strRef>
          </c:cat>
          <c:val>
            <c:numRef>
              <c:f>'Chart Helper'!$K$2:$K$5</c:f>
              <c:numCache>
                <c:formatCode>0%</c:formatCode>
                <c:ptCount val="4"/>
                <c:pt idx="0">
                  <c:v>0.30010735841363539</c:v>
                </c:pt>
                <c:pt idx="1">
                  <c:v>0.30262813432391567</c:v>
                </c:pt>
                <c:pt idx="2">
                  <c:v>0.30698316200686349</c:v>
                </c:pt>
                <c:pt idx="3">
                  <c:v>0.30531780312354684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40-42CE-AD92-21D4FF65804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182670</xdr:rowOff>
    </xdr:from>
    <xdr:to>
      <xdr:col>2</xdr:col>
      <xdr:colOff>0</xdr:colOff>
      <xdr:row>3</xdr:row>
      <xdr:rowOff>0</xdr:rowOff>
    </xdr:to>
    <xdr:sp macro="" textlink="B3">
      <xdr:nvSpPr>
        <xdr:cNvPr id="7" name="Rectangle: Rounded Corners 6">
          <a:extLst>
            <a:ext uri="{FF2B5EF4-FFF2-40B4-BE49-F238E27FC236}">
              <a16:creationId xmlns:a16="http://schemas.microsoft.com/office/drawing/2014/main" id="{830E52C1-76FF-4FD1-AE5D-19C10569EFCC}"/>
            </a:ext>
          </a:extLst>
        </xdr:cNvPr>
        <xdr:cNvSpPr/>
      </xdr:nvSpPr>
      <xdr:spPr>
        <a:xfrm>
          <a:off x="610644" y="594985"/>
          <a:ext cx="1111685" cy="182673"/>
        </a:xfrm>
        <a:prstGeom prst="roundRect">
          <a:avLst/>
        </a:prstGeom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fld id="{7ED871FF-2781-4DC6-8BBF-36DE5D6B3743}" type="TxLink">
            <a:rPr lang="en-US" sz="11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rPr>
            <a:pPr marL="0" indent="0" algn="l"/>
            <a:t>Country</a:t>
          </a:fld>
          <a:endParaRPr lang="en-US" sz="1100" b="0" i="0" u="none" strike="noStrike">
            <a:solidFill>
              <a:srgbClr val="000000"/>
            </a:solidFill>
            <a:latin typeface="SF Pro"/>
            <a:ea typeface="SF Pro"/>
            <a:cs typeface="SF Pro"/>
          </a:endParaRPr>
        </a:p>
      </xdr:txBody>
    </xdr:sp>
    <xdr:clientData/>
  </xdr:twoCellAnchor>
  <xdr:twoCellAnchor>
    <xdr:from>
      <xdr:col>4</xdr:col>
      <xdr:colOff>1044</xdr:colOff>
      <xdr:row>2</xdr:row>
      <xdr:rowOff>6262</xdr:rowOff>
    </xdr:from>
    <xdr:to>
      <xdr:col>5</xdr:col>
      <xdr:colOff>1</xdr:colOff>
      <xdr:row>3</xdr:row>
      <xdr:rowOff>6263</xdr:rowOff>
    </xdr:to>
    <xdr:sp macro="" textlink="E3">
      <xdr:nvSpPr>
        <xdr:cNvPr id="10" name="Rectangle: Rounded Corners 9">
          <a:extLst>
            <a:ext uri="{FF2B5EF4-FFF2-40B4-BE49-F238E27FC236}">
              <a16:creationId xmlns:a16="http://schemas.microsoft.com/office/drawing/2014/main" id="{F5CED2F6-42B1-4763-9643-9DD9BF24E999}"/>
            </a:ext>
          </a:extLst>
        </xdr:cNvPr>
        <xdr:cNvSpPr/>
      </xdr:nvSpPr>
      <xdr:spPr>
        <a:xfrm>
          <a:off x="3602277" y="601248"/>
          <a:ext cx="943628" cy="182673"/>
        </a:xfrm>
        <a:prstGeom prst="roundRect">
          <a:avLst/>
        </a:prstGeom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fld id="{89EE3350-95BC-4B49-9DA9-CF246DB33844}" type="TxLink">
            <a:rPr lang="en-US" sz="11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rPr>
            <a:pPr marL="0" indent="0" algn="l"/>
            <a:t>City</a:t>
          </a:fld>
          <a:endParaRPr lang="en-US" sz="1100" b="0" i="0" u="none" strike="noStrike">
            <a:solidFill>
              <a:srgbClr val="000000"/>
            </a:solidFill>
            <a:latin typeface="SF Pro"/>
            <a:ea typeface="SF Pro"/>
            <a:cs typeface="SF Pro"/>
          </a:endParaRPr>
        </a:p>
      </xdr:txBody>
    </xdr:sp>
    <xdr:clientData/>
  </xdr:twoCellAnchor>
  <xdr:twoCellAnchor>
    <xdr:from>
      <xdr:col>7</xdr:col>
      <xdr:colOff>0</xdr:colOff>
      <xdr:row>2</xdr:row>
      <xdr:rowOff>0</xdr:rowOff>
    </xdr:from>
    <xdr:to>
      <xdr:col>8</xdr:col>
      <xdr:colOff>0</xdr:colOff>
      <xdr:row>3</xdr:row>
      <xdr:rowOff>1</xdr:rowOff>
    </xdr:to>
    <xdr:sp macro="" textlink="H3">
      <xdr:nvSpPr>
        <xdr:cNvPr id="11" name="Rectangle: Rounded Corners 10">
          <a:extLst>
            <a:ext uri="{FF2B5EF4-FFF2-40B4-BE49-F238E27FC236}">
              <a16:creationId xmlns:a16="http://schemas.microsoft.com/office/drawing/2014/main" id="{2DAE7472-DC3A-4979-BD2E-27DADD2200E1}"/>
            </a:ext>
          </a:extLst>
        </xdr:cNvPr>
        <xdr:cNvSpPr/>
      </xdr:nvSpPr>
      <xdr:spPr>
        <a:xfrm>
          <a:off x="5767192" y="594986"/>
          <a:ext cx="756781" cy="182673"/>
        </a:xfrm>
        <a:prstGeom prst="roundRect">
          <a:avLst/>
        </a:prstGeom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fld id="{C41505CC-CACB-43FE-BCF1-60DC1572B7C3}" type="TxLink">
            <a:rPr lang="en-US" sz="11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rPr>
            <a:pPr marL="0" indent="0" algn="l"/>
            <a:t>Region</a:t>
          </a:fld>
          <a:endParaRPr lang="en-US" sz="1100" b="0" i="0" u="none" strike="noStrike">
            <a:solidFill>
              <a:srgbClr val="000000"/>
            </a:solidFill>
            <a:latin typeface="SF Pro"/>
            <a:ea typeface="SF Pro"/>
            <a:cs typeface="SF Pro"/>
          </a:endParaRPr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0</xdr:colOff>
      <xdr:row>3</xdr:row>
      <xdr:rowOff>1</xdr:rowOff>
    </xdr:to>
    <xdr:sp macro="" textlink="K3">
      <xdr:nvSpPr>
        <xdr:cNvPr id="12" name="Rectangle: Rounded Corners 11">
          <a:extLst>
            <a:ext uri="{FF2B5EF4-FFF2-40B4-BE49-F238E27FC236}">
              <a16:creationId xmlns:a16="http://schemas.microsoft.com/office/drawing/2014/main" id="{F58D178B-0345-43E7-AA61-85E7815A7D75}"/>
            </a:ext>
          </a:extLst>
        </xdr:cNvPr>
        <xdr:cNvSpPr/>
      </xdr:nvSpPr>
      <xdr:spPr>
        <a:xfrm>
          <a:off x="7745260" y="594986"/>
          <a:ext cx="1064713" cy="182673"/>
        </a:xfrm>
        <a:prstGeom prst="roundRect">
          <a:avLst/>
        </a:prstGeom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fld id="{9551B4B7-B094-472C-AC35-A6B332169A76}" type="TxLink">
            <a:rPr lang="en-US" sz="11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rPr>
            <a:pPr marL="0" indent="0" algn="l"/>
            <a:t>Product</a:t>
          </a:fld>
          <a:endParaRPr lang="en-US" sz="1100" b="0" i="0" u="none" strike="noStrike">
            <a:solidFill>
              <a:srgbClr val="000000"/>
            </a:solidFill>
            <a:latin typeface="SF Pro"/>
            <a:ea typeface="SF Pro"/>
            <a:cs typeface="SF Pro"/>
          </a:endParaRP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3</xdr:col>
      <xdr:colOff>8371</xdr:colOff>
      <xdr:row>7</xdr:row>
      <xdr:rowOff>182879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A3D15D5-9EBC-7A93-C1E2-005B347F488C}"/>
            </a:ext>
          </a:extLst>
        </xdr:cNvPr>
        <xdr:cNvGrpSpPr/>
      </xdr:nvGrpSpPr>
      <xdr:grpSpPr>
        <a:xfrm>
          <a:off x="609600" y="1127760"/>
          <a:ext cx="2058151" cy="731519"/>
          <a:chOff x="590811" y="1733809"/>
          <a:chExt cx="2070969" cy="687890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E3E1FE06-7E9E-4527-807C-7596EA60A755}"/>
              </a:ext>
            </a:extLst>
          </xdr:cNvPr>
          <xdr:cNvSpPr/>
        </xdr:nvSpPr>
        <xdr:spPr>
          <a:xfrm>
            <a:off x="590811" y="1733809"/>
            <a:ext cx="2070969" cy="687890"/>
          </a:xfrm>
          <a:prstGeom prst="roundRect">
            <a:avLst/>
          </a:prstGeom>
          <a:ln w="9525"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algn="l"/>
            <a:endParaRPr lang="en-US" sz="11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endParaRPr>
          </a:p>
        </xdr:txBody>
      </xdr:sp>
      <xdr:sp macro="" textlink="$B$6">
        <xdr:nvSpPr>
          <xdr:cNvPr id="14" name="TextBox 13">
            <a:extLst>
              <a:ext uri="{FF2B5EF4-FFF2-40B4-BE49-F238E27FC236}">
                <a16:creationId xmlns:a16="http://schemas.microsoft.com/office/drawing/2014/main" id="{DE2F7D0F-3065-E753-7CF8-C2AD7D2993B7}"/>
              </a:ext>
            </a:extLst>
          </xdr:cNvPr>
          <xdr:cNvSpPr txBox="1"/>
        </xdr:nvSpPr>
        <xdr:spPr>
          <a:xfrm>
            <a:off x="650605" y="1811055"/>
            <a:ext cx="1424835" cy="24008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A5F808A-E23A-45FB-BCFB-6B6D4CCD8689}" type="TxLink">
              <a:rPr lang="en-US" sz="1600" b="0" i="0" u="none" strike="noStrike">
                <a:solidFill>
                  <a:srgbClr val="000000"/>
                </a:solidFill>
                <a:latin typeface="SF Pro"/>
                <a:ea typeface="SF Pro"/>
                <a:cs typeface="SF Pro"/>
              </a:rPr>
              <a:pPr algn="ctr"/>
              <a:t>Total Revenue</a:t>
            </a:fld>
            <a:endParaRPr lang="en-GB" sz="1600" b="0"/>
          </a:p>
        </xdr:txBody>
      </xdr:sp>
      <xdr:sp macro="" textlink="$B$7">
        <xdr:nvSpPr>
          <xdr:cNvPr id="15" name="TextBox 14">
            <a:extLst>
              <a:ext uri="{FF2B5EF4-FFF2-40B4-BE49-F238E27FC236}">
                <a16:creationId xmlns:a16="http://schemas.microsoft.com/office/drawing/2014/main" id="{F429D524-034F-40F7-BCA7-9F007C21D62F}"/>
              </a:ext>
            </a:extLst>
          </xdr:cNvPr>
          <xdr:cNvSpPr txBox="1"/>
        </xdr:nvSpPr>
        <xdr:spPr>
          <a:xfrm>
            <a:off x="851770" y="2078277"/>
            <a:ext cx="1424835" cy="24008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49F8370-3B52-41A0-B022-206DA25A2F67}" type="TxLink">
              <a:rPr lang="en-US" sz="1400" b="0" i="0" u="none" strike="noStrike">
                <a:solidFill>
                  <a:srgbClr val="000000"/>
                </a:solidFill>
                <a:latin typeface="SF Pro"/>
                <a:ea typeface="SF Pro"/>
                <a:cs typeface="SF Pro"/>
              </a:rPr>
              <a:pPr algn="ctr"/>
              <a:t> € 65,752.90 </a:t>
            </a:fld>
            <a:endParaRPr lang="en-GB" sz="1800"/>
          </a:p>
        </xdr:txBody>
      </xdr:sp>
    </xdr:grpSp>
    <xdr:clientData/>
  </xdr:twoCellAnchor>
  <xdr:twoCellAnchor>
    <xdr:from>
      <xdr:col>3</xdr:col>
      <xdr:colOff>371355</xdr:colOff>
      <xdr:row>4</xdr:row>
      <xdr:rowOff>1</xdr:rowOff>
    </xdr:from>
    <xdr:to>
      <xdr:col>6</xdr:col>
      <xdr:colOff>0</xdr:colOff>
      <xdr:row>8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CBCCB2D-1598-4B8A-B03A-1F5C2B8430BC}"/>
            </a:ext>
          </a:extLst>
        </xdr:cNvPr>
        <xdr:cNvGrpSpPr/>
      </xdr:nvGrpSpPr>
      <xdr:grpSpPr>
        <a:xfrm>
          <a:off x="3030735" y="1127761"/>
          <a:ext cx="1899405" cy="731519"/>
          <a:chOff x="590811" y="1733809"/>
          <a:chExt cx="2070969" cy="687890"/>
        </a:xfrm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660F46DF-6CD7-0E70-9976-9AF05484BF1B}"/>
              </a:ext>
            </a:extLst>
          </xdr:cNvPr>
          <xdr:cNvSpPr/>
        </xdr:nvSpPr>
        <xdr:spPr>
          <a:xfrm>
            <a:off x="590811" y="1733809"/>
            <a:ext cx="2070969" cy="687890"/>
          </a:xfrm>
          <a:prstGeom prst="roundRect">
            <a:avLst/>
          </a:prstGeom>
          <a:ln w="9525"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algn="l"/>
            <a:endParaRPr lang="en-US" sz="11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endParaRPr>
          </a:p>
        </xdr:txBody>
      </xdr:sp>
      <xdr:sp macro="" textlink="$E$6">
        <xdr:nvSpPr>
          <xdr:cNvPr id="19" name="TextBox 18">
            <a:extLst>
              <a:ext uri="{FF2B5EF4-FFF2-40B4-BE49-F238E27FC236}">
                <a16:creationId xmlns:a16="http://schemas.microsoft.com/office/drawing/2014/main" id="{046BDEE6-35BE-13DA-B728-B2C263EC1CE0}"/>
              </a:ext>
            </a:extLst>
          </xdr:cNvPr>
          <xdr:cNvSpPr txBox="1"/>
        </xdr:nvSpPr>
        <xdr:spPr>
          <a:xfrm>
            <a:off x="591056" y="1811055"/>
            <a:ext cx="1424835" cy="24008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13E1256C-91AB-4E9A-80A4-8D864E3E5B2C}" type="TxLink">
              <a:rPr lang="en-US" sz="1600" b="0" i="0" u="none" strike="noStrike">
                <a:solidFill>
                  <a:srgbClr val="000000"/>
                </a:solidFill>
                <a:latin typeface="SF Pro"/>
                <a:ea typeface="SF Pro"/>
                <a:cs typeface="SF Pro"/>
              </a:rPr>
              <a:pPr marL="0" indent="0" algn="ctr"/>
              <a:t>Total Order</a:t>
            </a:fld>
            <a:endParaRPr lang="en-GB" sz="16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endParaRPr>
          </a:p>
        </xdr:txBody>
      </xdr:sp>
      <xdr:sp macro="" textlink="$E$7">
        <xdr:nvSpPr>
          <xdr:cNvPr id="20" name="TextBox 19">
            <a:extLst>
              <a:ext uri="{FF2B5EF4-FFF2-40B4-BE49-F238E27FC236}">
                <a16:creationId xmlns:a16="http://schemas.microsoft.com/office/drawing/2014/main" id="{21A62B24-BDA0-15F1-A687-C78305307E30}"/>
              </a:ext>
            </a:extLst>
          </xdr:cNvPr>
          <xdr:cNvSpPr txBox="1"/>
        </xdr:nvSpPr>
        <xdr:spPr>
          <a:xfrm>
            <a:off x="851770" y="2078277"/>
            <a:ext cx="1424835" cy="24008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1088C2E-E8BC-49AB-9F0B-DFEABAEBA47A}" type="TxLink">
              <a:rPr lang="en-US" sz="1400" b="0" i="0" u="none" strike="noStrike">
                <a:solidFill>
                  <a:srgbClr val="000000"/>
                </a:solidFill>
                <a:latin typeface="SF Pro"/>
                <a:ea typeface="SF Pro"/>
                <a:cs typeface="SF Pro"/>
              </a:rPr>
              <a:pPr algn="ctr"/>
              <a:t>39</a:t>
            </a:fld>
            <a:endParaRPr lang="en-GB" sz="1400"/>
          </a:p>
        </xdr:txBody>
      </xdr:sp>
    </xdr:grpSp>
    <xdr:clientData/>
  </xdr:twoCellAnchor>
  <xdr:twoCellAnchor>
    <xdr:from>
      <xdr:col>7</xdr:col>
      <xdr:colOff>2797</xdr:colOff>
      <xdr:row>4</xdr:row>
      <xdr:rowOff>0</xdr:rowOff>
    </xdr:from>
    <xdr:to>
      <xdr:col>9</xdr:col>
      <xdr:colOff>0</xdr:colOff>
      <xdr:row>7</xdr:row>
      <xdr:rowOff>182879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FA9CDA71-6367-6F52-57DA-506FEF199BEA}"/>
            </a:ext>
          </a:extLst>
        </xdr:cNvPr>
        <xdr:cNvGrpSpPr/>
      </xdr:nvGrpSpPr>
      <xdr:grpSpPr>
        <a:xfrm>
          <a:off x="5306317" y="1127760"/>
          <a:ext cx="1886963" cy="731519"/>
          <a:chOff x="590811" y="1733809"/>
          <a:chExt cx="2070969" cy="687890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A9379C10-C4FA-D11D-72E5-DE34F72A7113}"/>
              </a:ext>
            </a:extLst>
          </xdr:cNvPr>
          <xdr:cNvSpPr/>
        </xdr:nvSpPr>
        <xdr:spPr>
          <a:xfrm>
            <a:off x="590811" y="1733809"/>
            <a:ext cx="2070969" cy="687890"/>
          </a:xfrm>
          <a:prstGeom prst="roundRect">
            <a:avLst/>
          </a:prstGeom>
          <a:ln w="9525"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algn="l"/>
            <a:endParaRPr lang="en-US" sz="11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endParaRPr>
          </a:p>
        </xdr:txBody>
      </xdr:sp>
      <xdr:sp macro="" textlink="$H$6">
        <xdr:nvSpPr>
          <xdr:cNvPr id="23" name="TextBox 22">
            <a:extLst>
              <a:ext uri="{FF2B5EF4-FFF2-40B4-BE49-F238E27FC236}">
                <a16:creationId xmlns:a16="http://schemas.microsoft.com/office/drawing/2014/main" id="{A4827DB7-9C6E-7C23-B2EC-723E29698EFE}"/>
              </a:ext>
            </a:extLst>
          </xdr:cNvPr>
          <xdr:cNvSpPr txBox="1"/>
        </xdr:nvSpPr>
        <xdr:spPr>
          <a:xfrm>
            <a:off x="659581" y="1764756"/>
            <a:ext cx="1910831" cy="31961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81309F4-6BEE-4E0F-8E0C-AD89CB27249F}" type="TxLink">
              <a:rPr lang="en-US" sz="1400" b="0" i="0" u="none" strike="noStrike">
                <a:solidFill>
                  <a:srgbClr val="000000"/>
                </a:solidFill>
                <a:latin typeface="SF Pro"/>
                <a:ea typeface="SF Pro"/>
                <a:cs typeface="SF Pro"/>
              </a:rPr>
              <a:pPr marL="0" indent="0" algn="ctr"/>
              <a:t>Average Order Value</a:t>
            </a:fld>
            <a:endParaRPr lang="en-GB" sz="14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endParaRPr>
          </a:p>
        </xdr:txBody>
      </xdr:sp>
      <xdr:sp macro="" textlink="$H$7">
        <xdr:nvSpPr>
          <xdr:cNvPr id="24" name="TextBox 23">
            <a:extLst>
              <a:ext uri="{FF2B5EF4-FFF2-40B4-BE49-F238E27FC236}">
                <a16:creationId xmlns:a16="http://schemas.microsoft.com/office/drawing/2014/main" id="{05476EA5-96E1-096C-2E08-B43FA153D8EE}"/>
              </a:ext>
            </a:extLst>
          </xdr:cNvPr>
          <xdr:cNvSpPr txBox="1"/>
        </xdr:nvSpPr>
        <xdr:spPr>
          <a:xfrm>
            <a:off x="851770" y="2078277"/>
            <a:ext cx="1424835" cy="24008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F9959A4-D86A-494C-B050-5BC3470190B0}" type="TxLink">
              <a:rPr lang="en-US" sz="1400" b="0" i="0" u="none" strike="noStrike">
                <a:solidFill>
                  <a:srgbClr val="000000"/>
                </a:solidFill>
                <a:latin typeface="SF Pro"/>
                <a:ea typeface="SF Pro"/>
                <a:cs typeface="SF Pro"/>
              </a:rPr>
              <a:pPr algn="ctr"/>
              <a:t> € 1,686.0 </a:t>
            </a:fld>
            <a:endParaRPr lang="en-GB" sz="1400"/>
          </a:p>
        </xdr:txBody>
      </xdr:sp>
    </xdr:grpSp>
    <xdr:clientData/>
  </xdr:twoCellAnchor>
  <xdr:twoCellAnchor>
    <xdr:from>
      <xdr:col>10</xdr:col>
      <xdr:colOff>15240</xdr:colOff>
      <xdr:row>4</xdr:row>
      <xdr:rowOff>1</xdr:rowOff>
    </xdr:from>
    <xdr:to>
      <xdr:col>11</xdr:col>
      <xdr:colOff>944038</xdr:colOff>
      <xdr:row>8</xdr:row>
      <xdr:rowOff>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C4EF7769-C162-2741-6F78-9EFF690A2B11}"/>
            </a:ext>
          </a:extLst>
        </xdr:cNvPr>
        <xdr:cNvGrpSpPr/>
      </xdr:nvGrpSpPr>
      <xdr:grpSpPr>
        <a:xfrm>
          <a:off x="7581900" y="1127761"/>
          <a:ext cx="1873678" cy="731519"/>
          <a:chOff x="590811" y="1733809"/>
          <a:chExt cx="2070969" cy="687890"/>
        </a:xfrm>
      </xdr:grpSpPr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275452DC-78A2-C064-7E29-10CAABAC1ABF}"/>
              </a:ext>
            </a:extLst>
          </xdr:cNvPr>
          <xdr:cNvSpPr/>
        </xdr:nvSpPr>
        <xdr:spPr>
          <a:xfrm>
            <a:off x="590811" y="1733809"/>
            <a:ext cx="2070969" cy="687890"/>
          </a:xfrm>
          <a:prstGeom prst="roundRect">
            <a:avLst/>
          </a:prstGeom>
          <a:ln w="9525"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algn="l"/>
            <a:endParaRPr lang="en-US" sz="11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endParaRPr>
          </a:p>
        </xdr:txBody>
      </xdr:sp>
      <xdr:sp macro="" textlink="$K$6">
        <xdr:nvSpPr>
          <xdr:cNvPr id="27" name="TextBox 26">
            <a:extLst>
              <a:ext uri="{FF2B5EF4-FFF2-40B4-BE49-F238E27FC236}">
                <a16:creationId xmlns:a16="http://schemas.microsoft.com/office/drawing/2014/main" id="{DBD05B40-35FC-3EE7-44D7-6DAA058ECB67}"/>
              </a:ext>
            </a:extLst>
          </xdr:cNvPr>
          <xdr:cNvSpPr txBox="1"/>
        </xdr:nvSpPr>
        <xdr:spPr>
          <a:xfrm>
            <a:off x="636740" y="1811055"/>
            <a:ext cx="1795397" cy="24008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61A5F1DD-3019-4DD8-AA6A-6098B0C51D05}" type="TxLink">
              <a:rPr lang="en-US" sz="1600" b="0" i="0" u="none" strike="noStrike">
                <a:solidFill>
                  <a:srgbClr val="000000"/>
                </a:solidFill>
                <a:latin typeface="SF Pro"/>
                <a:ea typeface="SF Pro"/>
                <a:cs typeface="SF Pro"/>
              </a:rPr>
              <a:pPr marL="0" indent="0" algn="ctr"/>
              <a:t>Median Revenue</a:t>
            </a:fld>
            <a:endParaRPr lang="en-GB" sz="16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endParaRPr>
          </a:p>
        </xdr:txBody>
      </xdr:sp>
      <xdr:sp macro="" textlink="$K$7">
        <xdr:nvSpPr>
          <xdr:cNvPr id="28" name="TextBox 27">
            <a:extLst>
              <a:ext uri="{FF2B5EF4-FFF2-40B4-BE49-F238E27FC236}">
                <a16:creationId xmlns:a16="http://schemas.microsoft.com/office/drawing/2014/main" id="{A92C193F-BE5E-106A-5191-7AFAFA1A5544}"/>
              </a:ext>
            </a:extLst>
          </xdr:cNvPr>
          <xdr:cNvSpPr txBox="1"/>
        </xdr:nvSpPr>
        <xdr:spPr>
          <a:xfrm>
            <a:off x="851770" y="2078277"/>
            <a:ext cx="1424835" cy="24008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6067812-F5E4-43E6-8F4F-C6CB3734402E}" type="TxLink">
              <a:rPr lang="en-US" sz="1400" b="0" i="0" u="none" strike="noStrike">
                <a:solidFill>
                  <a:srgbClr val="000000"/>
                </a:solidFill>
                <a:latin typeface="SF Pro"/>
                <a:ea typeface="SF Pro"/>
                <a:cs typeface="SF Pro"/>
              </a:rPr>
              <a:pPr algn="ctr"/>
              <a:t> € 1,557.1 </a:t>
            </a:fld>
            <a:endParaRPr lang="en-GB" sz="1400"/>
          </a:p>
        </xdr:txBody>
      </xdr:sp>
    </xdr:grpSp>
    <xdr:clientData/>
  </xdr:twoCellAnchor>
  <xdr:twoCellAnchor>
    <xdr:from>
      <xdr:col>0</xdr:col>
      <xdr:colOff>554258</xdr:colOff>
      <xdr:row>8</xdr:row>
      <xdr:rowOff>110725</xdr:rowOff>
    </xdr:from>
    <xdr:to>
      <xdr:col>6</xdr:col>
      <xdr:colOff>191062</xdr:colOff>
      <xdr:row>23</xdr:row>
      <xdr:rowOff>76542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8707C9F-DC9B-4A1A-BB33-A10BCBBBB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14</xdr:col>
      <xdr:colOff>0</xdr:colOff>
      <xdr:row>3</xdr:row>
      <xdr:rowOff>1</xdr:rowOff>
    </xdr:to>
    <xdr:sp macro="" textlink="$N$3">
      <xdr:nvSpPr>
        <xdr:cNvPr id="33" name="Rectangle: Rounded Corners 32">
          <a:extLst>
            <a:ext uri="{FF2B5EF4-FFF2-40B4-BE49-F238E27FC236}">
              <a16:creationId xmlns:a16="http://schemas.microsoft.com/office/drawing/2014/main" id="{9C0716E4-6FFE-42BD-B9CD-458843B3A3F8}"/>
            </a:ext>
          </a:extLst>
        </xdr:cNvPr>
        <xdr:cNvSpPr/>
      </xdr:nvSpPr>
      <xdr:spPr>
        <a:xfrm>
          <a:off x="9844335" y="594624"/>
          <a:ext cx="1057110" cy="184995"/>
        </a:xfrm>
        <a:prstGeom prst="roundRect">
          <a:avLst/>
        </a:prstGeom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fld id="{FAE646D3-7F36-4487-B5A0-581054493FF9}" type="TxLink">
            <a:rPr lang="en-US" sz="105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rPr>
            <a:pPr marL="0" indent="0" algn="l"/>
            <a:t>Sales Channel</a:t>
          </a:fld>
          <a:endParaRPr lang="en-US" sz="1050" b="0" i="0" u="none" strike="noStrike">
            <a:solidFill>
              <a:srgbClr val="000000"/>
            </a:solidFill>
            <a:latin typeface="SF Pro"/>
            <a:ea typeface="SF Pro"/>
            <a:cs typeface="SF Pro"/>
          </a:endParaRPr>
        </a:p>
      </xdr:txBody>
    </xdr:sp>
    <xdr:clientData/>
  </xdr:twoCellAnchor>
  <xdr:twoCellAnchor>
    <xdr:from>
      <xdr:col>15</xdr:col>
      <xdr:colOff>374393</xdr:colOff>
      <xdr:row>1</xdr:row>
      <xdr:rowOff>181232</xdr:rowOff>
    </xdr:from>
    <xdr:to>
      <xdr:col>17</xdr:col>
      <xdr:colOff>0</xdr:colOff>
      <xdr:row>3</xdr:row>
      <xdr:rowOff>2</xdr:rowOff>
    </xdr:to>
    <xdr:sp macro="" textlink="$Q$3">
      <xdr:nvSpPr>
        <xdr:cNvPr id="34" name="Rectangle: Rounded Corners 33">
          <a:extLst>
            <a:ext uri="{FF2B5EF4-FFF2-40B4-BE49-F238E27FC236}">
              <a16:creationId xmlns:a16="http://schemas.microsoft.com/office/drawing/2014/main" id="{3638B4CE-5FFC-49D1-ABA8-4F1E7716DB01}"/>
            </a:ext>
          </a:extLst>
        </xdr:cNvPr>
        <xdr:cNvSpPr/>
      </xdr:nvSpPr>
      <xdr:spPr>
        <a:xfrm>
          <a:off x="11870296" y="593124"/>
          <a:ext cx="890115" cy="181235"/>
        </a:xfrm>
        <a:prstGeom prst="roundRect">
          <a:avLst/>
        </a:prstGeom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fld id="{70FB31DC-A1CC-408B-A87B-BACAB32A6824}" type="TxLink">
            <a:rPr lang="en-US" sz="11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rPr>
            <a:pPr marL="0" indent="0" algn="l"/>
            <a:t>Payment</a:t>
          </a:fld>
          <a:endParaRPr lang="en-US" sz="1100" b="0" i="0" u="none" strike="noStrike">
            <a:solidFill>
              <a:srgbClr val="000000"/>
            </a:solidFill>
            <a:latin typeface="SF Pro"/>
            <a:ea typeface="SF Pro"/>
            <a:cs typeface="SF Pro"/>
          </a:endParaRPr>
        </a:p>
      </xdr:txBody>
    </xdr:sp>
    <xdr:clientData/>
  </xdr:twoCellAnchor>
  <xdr:twoCellAnchor>
    <xdr:from>
      <xdr:col>7</xdr:col>
      <xdr:colOff>160020</xdr:colOff>
      <xdr:row>8</xdr:row>
      <xdr:rowOff>121920</xdr:rowOff>
    </xdr:from>
    <xdr:to>
      <xdr:col>11</xdr:col>
      <xdr:colOff>601980</xdr:colOff>
      <xdr:row>23</xdr:row>
      <xdr:rowOff>92318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142BDD-446A-44A4-9557-E8325D29A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762000</xdr:colOff>
      <xdr:row>8</xdr:row>
      <xdr:rowOff>121920</xdr:rowOff>
    </xdr:from>
    <xdr:to>
      <xdr:col>18</xdr:col>
      <xdr:colOff>472440</xdr:colOff>
      <xdr:row>23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6C50DF-5C1A-4E9C-8EB8-F96A0E6B6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216245</xdr:colOff>
      <xdr:row>3</xdr:row>
      <xdr:rowOff>167641</xdr:rowOff>
    </xdr:from>
    <xdr:to>
      <xdr:col>17</xdr:col>
      <xdr:colOff>434340</xdr:colOff>
      <xdr:row>7</xdr:row>
      <xdr:rowOff>167640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B8D944B-2582-4161-9751-D027A1405558}"/>
            </a:ext>
          </a:extLst>
        </xdr:cNvPr>
        <xdr:cNvGrpSpPr/>
      </xdr:nvGrpSpPr>
      <xdr:grpSpPr>
        <a:xfrm>
          <a:off x="9672665" y="1112521"/>
          <a:ext cx="3525175" cy="731519"/>
          <a:chOff x="509413" y="1733809"/>
          <a:chExt cx="2265543" cy="687890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CDA94E99-44EB-FB58-CF66-43B8F419A89D}"/>
              </a:ext>
            </a:extLst>
          </xdr:cNvPr>
          <xdr:cNvSpPr/>
        </xdr:nvSpPr>
        <xdr:spPr>
          <a:xfrm>
            <a:off x="590811" y="1733809"/>
            <a:ext cx="2070969" cy="687890"/>
          </a:xfrm>
          <a:prstGeom prst="roundRect">
            <a:avLst/>
          </a:prstGeom>
          <a:ln w="9525"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algn="l"/>
            <a:endParaRPr lang="en-US" sz="11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endParaRPr>
          </a:p>
        </xdr:txBody>
      </xdr:sp>
      <xdr:sp macro="" textlink="$K$6">
        <xdr:nvSpPr>
          <xdr:cNvPr id="6" name="TextBox 5">
            <a:extLst>
              <a:ext uri="{FF2B5EF4-FFF2-40B4-BE49-F238E27FC236}">
                <a16:creationId xmlns:a16="http://schemas.microsoft.com/office/drawing/2014/main" id="{D3B4E475-0122-9822-A812-EF89C641B395}"/>
              </a:ext>
            </a:extLst>
          </xdr:cNvPr>
          <xdr:cNvSpPr txBox="1"/>
        </xdr:nvSpPr>
        <xdr:spPr>
          <a:xfrm>
            <a:off x="509413" y="1811055"/>
            <a:ext cx="2265543" cy="24008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1400" b="0" i="0" u="none" strike="noStrike">
                <a:solidFill>
                  <a:srgbClr val="000000"/>
                </a:solidFill>
                <a:latin typeface="SF Pro"/>
                <a:ea typeface="SF Pro"/>
                <a:cs typeface="SF Pro"/>
              </a:rPr>
              <a:t>Catagory</a:t>
            </a:r>
            <a:r>
              <a:rPr lang="en-US" sz="1400" b="0" i="0" u="none" strike="noStrike" baseline="0">
                <a:solidFill>
                  <a:srgbClr val="000000"/>
                </a:solidFill>
                <a:latin typeface="SF Pro"/>
                <a:ea typeface="SF Pro"/>
                <a:cs typeface="SF Pro"/>
              </a:rPr>
              <a:t> Average Gross Profit Margin</a:t>
            </a:r>
            <a:endParaRPr lang="en-GB" sz="1400" b="0" i="0" u="none" strike="noStrike">
              <a:solidFill>
                <a:srgbClr val="000000"/>
              </a:solidFill>
              <a:latin typeface="SF Pro"/>
              <a:ea typeface="SF Pro"/>
              <a:cs typeface="SF Pro"/>
            </a:endParaRPr>
          </a:p>
        </xdr:txBody>
      </xdr:sp>
      <xdr:sp macro="" textlink="$N$6">
        <xdr:nvSpPr>
          <xdr:cNvPr id="8" name="TextBox 7">
            <a:extLst>
              <a:ext uri="{FF2B5EF4-FFF2-40B4-BE49-F238E27FC236}">
                <a16:creationId xmlns:a16="http://schemas.microsoft.com/office/drawing/2014/main" id="{4CAA5751-30A0-8329-3FB6-D5104B0451AB}"/>
              </a:ext>
            </a:extLst>
          </xdr:cNvPr>
          <xdr:cNvSpPr txBox="1"/>
        </xdr:nvSpPr>
        <xdr:spPr>
          <a:xfrm>
            <a:off x="851770" y="2078277"/>
            <a:ext cx="1424835" cy="24008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701477F-D595-4FA3-9CD3-4D782F27A30A}" type="TxLink">
              <a:rPr lang="en-US" sz="1400" b="0" i="0" u="none" strike="noStrike">
                <a:solidFill>
                  <a:srgbClr val="000000"/>
                </a:solidFill>
                <a:latin typeface="SF Pro"/>
                <a:ea typeface="SF Pro"/>
                <a:cs typeface="SF Pro"/>
              </a:rPr>
              <a:pPr algn="ctr"/>
              <a:t>30%</a:t>
            </a:fld>
            <a:endParaRPr lang="en-GB" sz="18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06802-6CF2-4A27-9F33-74F9375984E8}" name="data" displayName="data" ref="A1:T1201" totalsRowShown="0" headerRowDxfId="9" headerRowBorderDxfId="8" tableBorderDxfId="7">
  <autoFilter ref="A1:T1201" xr:uid="{E2A06802-6CF2-4A27-9F33-74F9375984E8}"/>
  <tableColumns count="20">
    <tableColumn id="1" xr3:uid="{828DC3F5-38E4-4C10-BAA8-AE6D955141C0}" name="Transaction_ID"/>
    <tableColumn id="2" xr3:uid="{39AF2C87-4A9D-4F6C-B74F-99A2349A5A00}" name="Date"/>
    <tableColumn id="3" xr3:uid="{91ECD88A-7EE9-432E-99BE-73851779CB49}" name="Country"/>
    <tableColumn id="4" xr3:uid="{F3A9640B-9119-490D-A4D0-3A4D48862ABB}" name="City"/>
    <tableColumn id="5" xr3:uid="{3176BCFD-8D6D-4921-892B-12A126DC1F66}" name="Region"/>
    <tableColumn id="6" xr3:uid="{0DFFCC45-886B-4F3F-92AE-9AB4437D6B4A}" name="Customer_ID"/>
    <tableColumn id="7" xr3:uid="{23A926F9-5D06-4D13-ADC8-9F33A4CC763D}" name="Salesperson"/>
    <tableColumn id="8" xr3:uid="{194D0A86-76C9-4CE9-A3D5-F3199522C4AF}" name="Product"/>
    <tableColumn id="9" xr3:uid="{B93A6527-E530-4798-922B-0F26C126F942}" name="Sales_Channel"/>
    <tableColumn id="10" xr3:uid="{A5921299-E70D-4109-B7B9-2CCABA328622}" name="Payment_Method"/>
    <tableColumn id="11" xr3:uid="{405C0F05-DA72-4BF1-B2BF-40BD45543F8E}" name="Units_Sold"/>
    <tableColumn id="12" xr3:uid="{B9CD1BFA-39CB-4316-89C3-E64ACCD04B44}" name="Unit_Price" dataDxfId="6"/>
    <tableColumn id="13" xr3:uid="{DCA6561B-FB35-4587-80FD-1398A3D17E81}" name="Discount_Rate"/>
    <tableColumn id="14" xr3:uid="{21A775AE-8837-4D1F-8C86-AB670B953131}" name="Cost_per_Unit" dataDxfId="5"/>
    <tableColumn id="15" xr3:uid="{588B3217-F4A3-44AB-8A03-21D2B1C63298}" name="Revenue" dataDxfId="4"/>
    <tableColumn id="16" xr3:uid="{5679FFF2-3FAA-4086-A89C-C1C87FB7DED9}" name="Total_Cost" dataDxfId="3"/>
    <tableColumn id="17" xr3:uid="{0F02F8A1-6E91-42B4-B043-77C30554F66F}" name="Profit" dataDxfId="2"/>
    <tableColumn id="18" xr3:uid="{C9511BF4-4173-45B9-949C-7CD14692FEBB}" name="Returned"/>
    <tableColumn id="19" xr3:uid="{353C2F22-8137-49DC-8571-CFE32A08448F}" name="MonthYear" dataDxfId="1">
      <calculatedColumnFormula>TEXT(data[[#This Row],[Date]],"mmm yyyy")</calculatedColumnFormula>
    </tableColumn>
    <tableColumn id="21" xr3:uid="{034591E3-6FEB-4E90-9DCC-5BAD74640AAD}" name="Gross Profit Margin" dataDxfId="0" dataCellStyle="Per cent">
      <calculatedColumnFormula>data[[#This Row],[Profit]]/data[[#This Row],[Revenue]]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230C-EED2-4DAA-8CDE-41FCCD27D1C8}">
  <dimension ref="B1:AA13"/>
  <sheetViews>
    <sheetView showGridLines="0" showRowColHeaders="0" tabSelected="1" zoomScaleNormal="100" workbookViewId="0">
      <selection activeCell="V14" sqref="V14"/>
    </sheetView>
  </sheetViews>
  <sheetFormatPr defaultRowHeight="14.4" x14ac:dyDescent="0.3"/>
  <cols>
    <col min="2" max="2" width="16.21875" customWidth="1"/>
    <col min="3" max="3" width="13.6640625" bestFit="1" customWidth="1"/>
    <col min="4" max="4" width="5.44140625" customWidth="1"/>
    <col min="5" max="5" width="13.88671875" bestFit="1" customWidth="1"/>
    <col min="6" max="6" width="13.77734375" customWidth="1"/>
    <col min="7" max="7" width="5.44140625" customWidth="1"/>
    <col min="8" max="9" width="13.77734375" customWidth="1"/>
    <col min="10" max="10" width="5.44140625" customWidth="1"/>
    <col min="11" max="12" width="13.77734375" customWidth="1"/>
    <col min="13" max="13" width="5.44140625" customWidth="1"/>
    <col min="14" max="14" width="15.44140625" bestFit="1" customWidth="1"/>
    <col min="16" max="16" width="5.44140625" customWidth="1"/>
    <col min="17" max="17" width="13" customWidth="1"/>
    <col min="18" max="18" width="9" bestFit="1" customWidth="1"/>
    <col min="19" max="19" width="6.88671875" customWidth="1"/>
    <col min="26" max="26" width="11.88671875" bestFit="1" customWidth="1"/>
  </cols>
  <sheetData>
    <row r="1" spans="2:27" ht="45.6" thickBot="1" x14ac:dyDescent="0.8">
      <c r="B1" s="11" t="s">
        <v>1788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AA1" t="s">
        <v>1795</v>
      </c>
    </row>
    <row r="2" spans="2:27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Z2" t="s">
        <v>1796</v>
      </c>
      <c r="AA2" s="3" cm="1">
        <f t="array" ref="AA2">SUM(IF(
(data[Country]=country)*
(data[Region]=region)*
(data[Product]=product),data[Revenue]))</f>
        <v>0</v>
      </c>
    </row>
    <row r="3" spans="2:27" x14ac:dyDescent="0.3">
      <c r="B3" s="3" t="s">
        <v>2</v>
      </c>
      <c r="C3" s="10" t="s">
        <v>607</v>
      </c>
      <c r="D3" s="3"/>
      <c r="E3" s="3" t="s">
        <v>3</v>
      </c>
      <c r="F3" s="10" t="s">
        <v>1780</v>
      </c>
      <c r="G3" s="3"/>
      <c r="H3" s="3" t="s">
        <v>4</v>
      </c>
      <c r="I3" s="10" t="s">
        <v>1780</v>
      </c>
      <c r="J3" s="3"/>
      <c r="K3" s="3" t="s">
        <v>7</v>
      </c>
      <c r="L3" s="10" t="s">
        <v>1767</v>
      </c>
      <c r="M3" s="3"/>
      <c r="N3" s="3" t="s">
        <v>1792</v>
      </c>
      <c r="O3" s="10" t="s">
        <v>1780</v>
      </c>
      <c r="P3" s="3"/>
      <c r="Q3" s="3" t="s">
        <v>1793</v>
      </c>
      <c r="R3" s="10" t="s">
        <v>1780</v>
      </c>
      <c r="S3" s="3"/>
    </row>
    <row r="4" spans="2:27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2:2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2:27" x14ac:dyDescent="0.3">
      <c r="B6" s="3" t="s">
        <v>1781</v>
      </c>
      <c r="C6" s="3"/>
      <c r="D6" s="3"/>
      <c r="E6" s="3" t="s">
        <v>1785</v>
      </c>
      <c r="F6" s="3"/>
      <c r="G6" s="3"/>
      <c r="H6" s="3" t="s">
        <v>1786</v>
      </c>
      <c r="I6" s="3"/>
      <c r="J6" s="3"/>
      <c r="K6" s="3" t="s">
        <v>1787</v>
      </c>
      <c r="L6" s="3"/>
      <c r="M6" s="3"/>
      <c r="N6" s="9">
        <f>AVERAGE('Chart Helper'!K2:K5)</f>
        <v>0.30375911446699033</v>
      </c>
      <c r="O6" s="3"/>
      <c r="P6" s="3"/>
      <c r="Q6" s="3"/>
      <c r="R6" s="3"/>
      <c r="S6" s="3"/>
    </row>
    <row r="7" spans="2:27" x14ac:dyDescent="0.3">
      <c r="B7" s="6" cm="1">
        <f t="array" ref="B7">SUM(
  _xlfn._xlws.FILTER(
    data[Revenue],
    (IF(country="All", TRUE, data[Country]=country)) *
    (IF(city="All", TRUE, data[City]=city)) *
    (IF(region="All", TRUE, data[Region]=region)) *
    (IF(product="All", TRUE, data[Product]=product)) *
    (IF(channel="All", TRUE, data[Sales_Channel]=channel)) *
    (IF(payment="All", TRUE, data[Payment_Method]=payment))
  )
)</f>
        <v>65752.900000000009</v>
      </c>
      <c r="C7" s="3"/>
      <c r="D7" s="3"/>
      <c r="E7" s="3" cm="1">
        <f t="array" ref="E7">COUNTA(
  _xlfn._xlws.FILTER(
    data[Transaction_ID],
    (IF(country="All", TRUE, data[Country]=country)) *
    (IF(city="All", TRUE, data[City]=city)) *
    (IF(region="All", TRUE, data[Region]=region)) *
    (IF(product="All", TRUE, data[Product]=product)) *
    (IF(channel="All", TRUE, data[Sales_Channel]=channel)) *
    (IF(payment="All", TRUE, data[Payment_Method]=payment))
  )
)</f>
        <v>39</v>
      </c>
      <c r="F7" s="3"/>
      <c r="G7" s="3"/>
      <c r="H7" s="5" cm="1">
        <f t="array" ref="H7">SUM(_xlfn._xlws.FILTER(data[Revenue], (IF(country="All", TRUE, data[Country]=country)) *
(IF(city="All", TRUE, data[City]=city)) *
(IF(region="All", TRUE, data[Region]=region)) *
(IF(product="All", TRUE, data[Product]=product)))) /
 COUNTA(_xlfn._xlws.FILTER(data[Transaction_ID], (IF(country="All", TRUE, data[Country]=country)) *
(IF(city="All", TRUE, data[City]=city)) *
(IF(region="All", TRUE, data[Region]=region)) *
(IF(product="All", TRUE, data[Product]=product)) *
    (IF(channel="All", TRUE, data[Sales_Channel]=channel)) *
    (IF(payment="All", TRUE, data[Payment_Method]=payment))
)
)</f>
        <v>1685.9717948717951</v>
      </c>
      <c r="I7" s="3"/>
      <c r="J7" s="3"/>
      <c r="K7" s="5" cm="1">
        <f t="array" ref="K7">MEDIAN(
  _xlfn._xlws.FILTER(
    data[Revenue],
    (IF(country="All", TRUE, data[Country]=country)) *
    (IF(city="All", TRUE, data[City]=city)) *
    (IF(region="All", TRUE, data[Region]=region)) *
    (IF(product="All", TRUE, data[Product]=product)) *
    (IF(channel="All", TRUE, data[Sales_Channel]=channel)) *
    (IF(payment="All", TRUE, data[Payment_Method]=payment))
  )
)</f>
        <v>1557.05</v>
      </c>
      <c r="L7" s="3"/>
      <c r="M7" s="3"/>
      <c r="N7" s="3"/>
      <c r="O7" s="3"/>
      <c r="P7" s="3"/>
      <c r="Q7" s="3"/>
      <c r="R7" s="3"/>
      <c r="S7" s="3"/>
    </row>
    <row r="8" spans="2:27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2:27" x14ac:dyDescent="0.3">
      <c r="M9" s="3"/>
      <c r="N9" s="3"/>
      <c r="O9" s="3"/>
      <c r="P9" s="3"/>
      <c r="Q9" s="3"/>
      <c r="R9" s="3"/>
      <c r="S9" s="3"/>
    </row>
    <row r="10" spans="2:27" x14ac:dyDescent="0.3">
      <c r="M10" s="3"/>
      <c r="N10" s="4"/>
      <c r="P10" s="3"/>
      <c r="Q10" s="3"/>
      <c r="R10" s="3"/>
      <c r="S10" s="3"/>
    </row>
    <row r="11" spans="2:27" x14ac:dyDescent="0.3">
      <c r="M11" s="3"/>
      <c r="N11" s="3"/>
      <c r="O11" s="3"/>
      <c r="P11" s="3"/>
      <c r="Q11" s="3"/>
      <c r="R11" s="3"/>
      <c r="S11" s="3"/>
    </row>
    <row r="12" spans="2:27" x14ac:dyDescent="0.3">
      <c r="M12" s="3"/>
      <c r="N12" s="3"/>
      <c r="O12" s="3"/>
      <c r="P12" s="3"/>
      <c r="Q12" s="3"/>
      <c r="R12" s="3"/>
      <c r="S12" s="3"/>
    </row>
    <row r="13" spans="2:27" x14ac:dyDescent="0.3">
      <c r="M13" s="3"/>
      <c r="N13" s="3"/>
      <c r="O13" s="3"/>
      <c r="P13" s="3"/>
      <c r="Q13" s="3"/>
      <c r="R13" s="3"/>
      <c r="S13" s="3"/>
    </row>
  </sheetData>
  <sheetProtection selectLockedCells="1"/>
  <mergeCells count="1">
    <mergeCell ref="B1:S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3BFB045-FC74-4CFF-ABA3-4FDCECDF23D5}">
          <x14:formula1>
            <xm:f>'Data Validation'!$F$2:$F$6</xm:f>
          </x14:formula1>
          <xm:sqref>C3:D3</xm:sqref>
        </x14:dataValidation>
        <x14:dataValidation type="list" allowBlank="1" showInputMessage="1" showErrorMessage="1" xr:uid="{5706CDB8-E46F-4F48-BA17-31E4DE324CCF}">
          <x14:formula1>
            <xm:f>'Data Validation'!$H$2:$H$18</xm:f>
          </x14:formula1>
          <xm:sqref>F3</xm:sqref>
        </x14:dataValidation>
        <x14:dataValidation type="list" allowBlank="1" showInputMessage="1" showErrorMessage="1" xr:uid="{E129FBF7-148B-44B2-96DE-ADF0100BD252}">
          <x14:formula1>
            <xm:f>'Data Validation'!$J$2:$J$6</xm:f>
          </x14:formula1>
          <xm:sqref>I3</xm:sqref>
        </x14:dataValidation>
        <x14:dataValidation type="list" allowBlank="1" showInputMessage="1" showErrorMessage="1" xr:uid="{1A30EF6E-4CA8-4629-831C-97678648BF50}">
          <x14:formula1>
            <xm:f>'Data Validation'!$M$2:$M$8</xm:f>
          </x14:formula1>
          <xm:sqref>L3</xm:sqref>
        </x14:dataValidation>
        <x14:dataValidation type="list" allowBlank="1" showInputMessage="1" showErrorMessage="1" xr:uid="{28C2366B-6FEC-4596-8713-D7D67DA3FCEA}">
          <x14:formula1>
            <xm:f>'Data Validation'!$O$2:$O$5</xm:f>
          </x14:formula1>
          <xm:sqref>O3</xm:sqref>
        </x14:dataValidation>
        <x14:dataValidation type="list" allowBlank="1" showInputMessage="1" showErrorMessage="1" xr:uid="{158DCE76-B206-4122-AEF5-B3C36946E10F}">
          <x14:formula1>
            <xm:f>'Data Validation'!$Q$2:$Q$6</xm:f>
          </x14:formula1>
          <xm:sqref>R3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1"/>
  <sheetViews>
    <sheetView topLeftCell="E386" workbookViewId="0">
      <selection activeCell="T1" sqref="T1"/>
    </sheetView>
  </sheetViews>
  <sheetFormatPr defaultRowHeight="14.4" x14ac:dyDescent="0.3"/>
  <cols>
    <col min="1" max="1" width="15.44140625" customWidth="1"/>
    <col min="3" max="3" width="9.6640625" customWidth="1"/>
    <col min="6" max="6" width="13.77734375" customWidth="1"/>
    <col min="7" max="7" width="12.88671875" customWidth="1"/>
    <col min="8" max="8" width="10.77734375" customWidth="1"/>
    <col min="9" max="9" width="15" customWidth="1"/>
    <col min="10" max="10" width="18.21875" customWidth="1"/>
    <col min="11" max="11" width="11.88671875" customWidth="1"/>
    <col min="12" max="12" width="11.5546875" customWidth="1"/>
    <col min="13" max="13" width="15" customWidth="1"/>
    <col min="14" max="14" width="14.88671875" customWidth="1"/>
    <col min="15" max="15" width="12.77734375" bestFit="1" customWidth="1"/>
    <col min="16" max="16" width="11.77734375" customWidth="1"/>
    <col min="17" max="17" width="11.5546875" bestFit="1" customWidth="1"/>
    <col min="18" max="18" width="10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1798</v>
      </c>
      <c r="T1" s="1" t="s">
        <v>1799</v>
      </c>
    </row>
    <row r="2" spans="1:20" x14ac:dyDescent="0.3">
      <c r="A2">
        <v>10000</v>
      </c>
      <c r="B2" t="s">
        <v>18</v>
      </c>
      <c r="C2" t="s">
        <v>606</v>
      </c>
      <c r="D2" t="s">
        <v>610</v>
      </c>
      <c r="E2" t="s">
        <v>626</v>
      </c>
      <c r="F2" t="s">
        <v>630</v>
      </c>
      <c r="G2" t="s">
        <v>1759</v>
      </c>
      <c r="H2" t="s">
        <v>1767</v>
      </c>
      <c r="I2" t="s">
        <v>1773</v>
      </c>
      <c r="J2" t="s">
        <v>1776</v>
      </c>
      <c r="K2">
        <v>2</v>
      </c>
      <c r="L2" s="2">
        <v>246</v>
      </c>
      <c r="M2">
        <v>0</v>
      </c>
      <c r="N2" s="2">
        <v>173.51</v>
      </c>
      <c r="O2" s="2">
        <v>492</v>
      </c>
      <c r="P2" s="2">
        <v>347.02</v>
      </c>
      <c r="Q2" s="2">
        <v>144.97999999999999</v>
      </c>
      <c r="R2">
        <v>0</v>
      </c>
      <c r="S2" s="2" t="str">
        <f>TEXT(data[[#This Row],[Date]],"mmm yyyy")</f>
        <v>Jan 2025</v>
      </c>
      <c r="T2" s="8">
        <f>data[[#This Row],[Profit]]/data[[#This Row],[Revenue]]</f>
        <v>0.29467479674796748</v>
      </c>
    </row>
    <row r="3" spans="1:20" x14ac:dyDescent="0.3">
      <c r="A3">
        <v>10001</v>
      </c>
      <c r="B3" t="s">
        <v>19</v>
      </c>
      <c r="C3" t="s">
        <v>607</v>
      </c>
      <c r="D3" t="s">
        <v>611</v>
      </c>
      <c r="E3" t="s">
        <v>626</v>
      </c>
      <c r="F3" t="s">
        <v>631</v>
      </c>
      <c r="G3" t="s">
        <v>1760</v>
      </c>
      <c r="H3" t="s">
        <v>1768</v>
      </c>
      <c r="I3" t="s">
        <v>1773</v>
      </c>
      <c r="J3" t="s">
        <v>1776</v>
      </c>
      <c r="K3">
        <v>3</v>
      </c>
      <c r="L3" s="2">
        <v>1046</v>
      </c>
      <c r="M3">
        <v>0.2</v>
      </c>
      <c r="N3" s="2">
        <v>634.01</v>
      </c>
      <c r="O3" s="2">
        <v>2510.4</v>
      </c>
      <c r="P3" s="2">
        <v>1902.03</v>
      </c>
      <c r="Q3" s="2">
        <v>608.37</v>
      </c>
      <c r="R3">
        <v>0</v>
      </c>
      <c r="S3" s="2" t="str">
        <f>TEXT(data[[#This Row],[Date]],"mmm yyyy")</f>
        <v>Aug 2024</v>
      </c>
      <c r="T3" s="8">
        <f>data[[#This Row],[Profit]]/data[[#This Row],[Revenue]]</f>
        <v>0.24233986615678776</v>
      </c>
    </row>
    <row r="4" spans="1:20" x14ac:dyDescent="0.3">
      <c r="A4">
        <v>10002</v>
      </c>
      <c r="B4" t="s">
        <v>20</v>
      </c>
      <c r="C4" t="s">
        <v>608</v>
      </c>
      <c r="D4" t="s">
        <v>612</v>
      </c>
      <c r="E4" t="s">
        <v>627</v>
      </c>
      <c r="F4" t="s">
        <v>632</v>
      </c>
      <c r="G4" t="s">
        <v>1761</v>
      </c>
      <c r="H4" t="s">
        <v>1767</v>
      </c>
      <c r="I4" t="s">
        <v>1774</v>
      </c>
      <c r="J4" t="s">
        <v>1776</v>
      </c>
      <c r="K4">
        <v>18</v>
      </c>
      <c r="L4" s="2">
        <v>116</v>
      </c>
      <c r="M4">
        <v>0</v>
      </c>
      <c r="N4" s="2">
        <v>74.56</v>
      </c>
      <c r="O4" s="2">
        <v>2088</v>
      </c>
      <c r="P4" s="2">
        <v>1342.08</v>
      </c>
      <c r="Q4" s="2">
        <v>745.92</v>
      </c>
      <c r="R4">
        <v>0</v>
      </c>
      <c r="S4" s="2" t="str">
        <f>TEXT(data[[#This Row],[Date]],"mmm yyyy")</f>
        <v>Apr 2024</v>
      </c>
      <c r="T4" s="8">
        <f>data[[#This Row],[Profit]]/data[[#This Row],[Revenue]]</f>
        <v>0.35724137931034483</v>
      </c>
    </row>
    <row r="5" spans="1:20" x14ac:dyDescent="0.3">
      <c r="A5">
        <v>10003</v>
      </c>
      <c r="B5" t="s">
        <v>21</v>
      </c>
      <c r="C5" t="s">
        <v>609</v>
      </c>
      <c r="D5" t="s">
        <v>613</v>
      </c>
      <c r="E5" t="s">
        <v>628</v>
      </c>
      <c r="F5" t="s">
        <v>633</v>
      </c>
      <c r="G5" t="s">
        <v>1762</v>
      </c>
      <c r="H5" t="s">
        <v>1767</v>
      </c>
      <c r="I5" t="s">
        <v>1773</v>
      </c>
      <c r="J5" t="s">
        <v>1777</v>
      </c>
      <c r="K5">
        <v>18</v>
      </c>
      <c r="L5" s="2">
        <v>254</v>
      </c>
      <c r="M5">
        <v>0.15</v>
      </c>
      <c r="N5" s="2">
        <v>176.35</v>
      </c>
      <c r="O5" s="2">
        <v>3886.2</v>
      </c>
      <c r="P5" s="2">
        <v>3174.3</v>
      </c>
      <c r="Q5" s="2">
        <v>711.9</v>
      </c>
      <c r="R5">
        <v>1</v>
      </c>
      <c r="S5" s="2" t="str">
        <f>TEXT(data[[#This Row],[Date]],"mmm yyyy")</f>
        <v>Aug 2025</v>
      </c>
      <c r="T5" s="8">
        <f>data[[#This Row],[Profit]]/data[[#This Row],[Revenue]]</f>
        <v>0.18318666049096805</v>
      </c>
    </row>
    <row r="6" spans="1:20" x14ac:dyDescent="0.3">
      <c r="A6">
        <v>10004</v>
      </c>
      <c r="B6" t="s">
        <v>22</v>
      </c>
      <c r="C6" t="s">
        <v>608</v>
      </c>
      <c r="D6" t="s">
        <v>614</v>
      </c>
      <c r="E6" t="s">
        <v>626</v>
      </c>
      <c r="F6" t="s">
        <v>634</v>
      </c>
      <c r="G6" t="s">
        <v>1763</v>
      </c>
      <c r="H6" t="s">
        <v>1769</v>
      </c>
      <c r="I6" t="s">
        <v>1773</v>
      </c>
      <c r="J6" t="s">
        <v>1778</v>
      </c>
      <c r="K6">
        <v>17</v>
      </c>
      <c r="L6" s="2">
        <v>303</v>
      </c>
      <c r="M6">
        <v>0.15</v>
      </c>
      <c r="N6" s="2">
        <v>217.79</v>
      </c>
      <c r="O6" s="2">
        <v>4378.3500000000004</v>
      </c>
      <c r="P6" s="2">
        <v>3702.43</v>
      </c>
      <c r="Q6" s="2">
        <v>675.92</v>
      </c>
      <c r="R6">
        <v>1</v>
      </c>
      <c r="S6" s="2" t="str">
        <f>TEXT(data[[#This Row],[Date]],"mmm yyyy")</f>
        <v>Oct 2024</v>
      </c>
      <c r="T6" s="8">
        <f>data[[#This Row],[Profit]]/data[[#This Row],[Revenue]]</f>
        <v>0.15437779072024849</v>
      </c>
    </row>
    <row r="7" spans="1:20" x14ac:dyDescent="0.3">
      <c r="A7">
        <v>10005</v>
      </c>
      <c r="B7" t="s">
        <v>23</v>
      </c>
      <c r="C7" t="s">
        <v>608</v>
      </c>
      <c r="D7" t="s">
        <v>615</v>
      </c>
      <c r="E7" t="s">
        <v>629</v>
      </c>
      <c r="F7" t="s">
        <v>635</v>
      </c>
      <c r="G7" t="s">
        <v>1764</v>
      </c>
      <c r="H7" t="s">
        <v>1767</v>
      </c>
      <c r="I7" t="s">
        <v>1773</v>
      </c>
      <c r="J7" t="s">
        <v>1776</v>
      </c>
      <c r="K7">
        <v>3</v>
      </c>
      <c r="L7" s="2">
        <v>90</v>
      </c>
      <c r="M7">
        <v>0.2</v>
      </c>
      <c r="N7" s="2">
        <v>57.89</v>
      </c>
      <c r="O7" s="2">
        <v>216</v>
      </c>
      <c r="P7" s="2">
        <v>173.67</v>
      </c>
      <c r="Q7" s="2">
        <v>42.33</v>
      </c>
      <c r="R7">
        <v>0</v>
      </c>
      <c r="S7" s="2" t="str">
        <f>TEXT(data[[#This Row],[Date]],"mmm yyyy")</f>
        <v>Dec 2024</v>
      </c>
      <c r="T7" s="8">
        <f>data[[#This Row],[Profit]]/data[[#This Row],[Revenue]]</f>
        <v>0.19597222222222221</v>
      </c>
    </row>
    <row r="8" spans="1:20" x14ac:dyDescent="0.3">
      <c r="A8">
        <v>10006</v>
      </c>
      <c r="B8" t="s">
        <v>24</v>
      </c>
      <c r="C8" t="s">
        <v>606</v>
      </c>
      <c r="D8" t="s">
        <v>616</v>
      </c>
      <c r="E8" t="s">
        <v>628</v>
      </c>
      <c r="F8" t="s">
        <v>636</v>
      </c>
      <c r="G8" t="s">
        <v>1760</v>
      </c>
      <c r="H8" t="s">
        <v>1770</v>
      </c>
      <c r="I8" t="s">
        <v>1775</v>
      </c>
      <c r="J8" t="s">
        <v>1778</v>
      </c>
      <c r="K8">
        <v>2</v>
      </c>
      <c r="L8" s="2">
        <v>466</v>
      </c>
      <c r="M8">
        <v>0.1</v>
      </c>
      <c r="N8" s="2">
        <v>308.39</v>
      </c>
      <c r="O8" s="2">
        <v>838.8</v>
      </c>
      <c r="P8" s="2">
        <v>616.78</v>
      </c>
      <c r="Q8" s="2">
        <v>222.02</v>
      </c>
      <c r="R8">
        <v>1</v>
      </c>
      <c r="S8" s="2" t="str">
        <f>TEXT(data[[#This Row],[Date]],"mmm yyyy")</f>
        <v>Oct 2024</v>
      </c>
      <c r="T8" s="8">
        <f>data[[#This Row],[Profit]]/data[[#This Row],[Revenue]]</f>
        <v>0.26468764902241299</v>
      </c>
    </row>
    <row r="9" spans="1:20" x14ac:dyDescent="0.3">
      <c r="A9">
        <v>10007</v>
      </c>
      <c r="B9" t="s">
        <v>25</v>
      </c>
      <c r="C9" t="s">
        <v>608</v>
      </c>
      <c r="D9" t="s">
        <v>614</v>
      </c>
      <c r="E9" t="s">
        <v>628</v>
      </c>
      <c r="F9" t="s">
        <v>637</v>
      </c>
      <c r="G9" t="s">
        <v>1761</v>
      </c>
      <c r="H9" t="s">
        <v>1767</v>
      </c>
      <c r="I9" t="s">
        <v>1773</v>
      </c>
      <c r="J9" t="s">
        <v>1779</v>
      </c>
      <c r="K9">
        <v>7</v>
      </c>
      <c r="L9" s="2">
        <v>95</v>
      </c>
      <c r="M9">
        <v>0.1</v>
      </c>
      <c r="N9" s="2">
        <v>50.57</v>
      </c>
      <c r="O9" s="2">
        <v>598.5</v>
      </c>
      <c r="P9" s="2">
        <v>353.99</v>
      </c>
      <c r="Q9" s="2">
        <v>244.51</v>
      </c>
      <c r="R9">
        <v>0</v>
      </c>
      <c r="S9" s="2" t="str">
        <f>TEXT(data[[#This Row],[Date]],"mmm yyyy")</f>
        <v>Feb 2025</v>
      </c>
      <c r="T9" s="8">
        <f>data[[#This Row],[Profit]]/data[[#This Row],[Revenue]]</f>
        <v>0.40853801169590642</v>
      </c>
    </row>
    <row r="10" spans="1:20" x14ac:dyDescent="0.3">
      <c r="A10">
        <v>10008</v>
      </c>
      <c r="B10" t="s">
        <v>26</v>
      </c>
      <c r="C10" t="s">
        <v>607</v>
      </c>
      <c r="D10" t="s">
        <v>617</v>
      </c>
      <c r="E10" t="s">
        <v>628</v>
      </c>
      <c r="F10" t="s">
        <v>638</v>
      </c>
      <c r="G10" t="s">
        <v>1765</v>
      </c>
      <c r="H10" t="s">
        <v>1771</v>
      </c>
      <c r="I10" t="s">
        <v>1773</v>
      </c>
      <c r="J10" t="s">
        <v>1777</v>
      </c>
      <c r="K10">
        <v>18</v>
      </c>
      <c r="L10" s="2">
        <v>520</v>
      </c>
      <c r="M10">
        <v>0.1</v>
      </c>
      <c r="N10" s="2">
        <v>351.83</v>
      </c>
      <c r="O10" s="2">
        <v>8424</v>
      </c>
      <c r="P10" s="2">
        <v>6332.94</v>
      </c>
      <c r="Q10" s="2">
        <v>2091.06</v>
      </c>
      <c r="R10">
        <v>0</v>
      </c>
      <c r="S10" s="2" t="str">
        <f>TEXT(data[[#This Row],[Date]],"mmm yyyy")</f>
        <v>Nov 2025</v>
      </c>
      <c r="T10" s="8">
        <f>data[[#This Row],[Profit]]/data[[#This Row],[Revenue]]</f>
        <v>0.24822649572649572</v>
      </c>
    </row>
    <row r="11" spans="1:20" x14ac:dyDescent="0.3">
      <c r="A11">
        <v>10009</v>
      </c>
      <c r="B11" t="s">
        <v>27</v>
      </c>
      <c r="C11" t="s">
        <v>608</v>
      </c>
      <c r="D11" t="s">
        <v>618</v>
      </c>
      <c r="E11" t="s">
        <v>629</v>
      </c>
      <c r="F11" t="s">
        <v>639</v>
      </c>
      <c r="G11" t="s">
        <v>1765</v>
      </c>
      <c r="H11" t="s">
        <v>1770</v>
      </c>
      <c r="I11" t="s">
        <v>1775</v>
      </c>
      <c r="J11" t="s">
        <v>1778</v>
      </c>
      <c r="K11">
        <v>1</v>
      </c>
      <c r="L11" s="2">
        <v>638</v>
      </c>
      <c r="M11">
        <v>0.15</v>
      </c>
      <c r="N11" s="2">
        <v>451.56</v>
      </c>
      <c r="O11" s="2">
        <v>542.29999999999995</v>
      </c>
      <c r="P11" s="2">
        <v>451.56</v>
      </c>
      <c r="Q11" s="2">
        <v>90.74</v>
      </c>
      <c r="R11">
        <v>0</v>
      </c>
      <c r="S11" s="2" t="str">
        <f>TEXT(data[[#This Row],[Date]],"mmm yyyy")</f>
        <v>Sep 2024</v>
      </c>
      <c r="T11" s="8">
        <f>data[[#This Row],[Profit]]/data[[#This Row],[Revenue]]</f>
        <v>0.16732435921076896</v>
      </c>
    </row>
    <row r="12" spans="1:20" x14ac:dyDescent="0.3">
      <c r="A12">
        <v>10010</v>
      </c>
      <c r="B12" t="s">
        <v>25</v>
      </c>
      <c r="C12" t="s">
        <v>606</v>
      </c>
      <c r="D12" t="s">
        <v>610</v>
      </c>
      <c r="E12" t="s">
        <v>628</v>
      </c>
      <c r="F12" t="s">
        <v>640</v>
      </c>
      <c r="G12" t="s">
        <v>1761</v>
      </c>
      <c r="H12" t="s">
        <v>1770</v>
      </c>
      <c r="I12" t="s">
        <v>1775</v>
      </c>
      <c r="J12" t="s">
        <v>1779</v>
      </c>
      <c r="K12">
        <v>20</v>
      </c>
      <c r="L12" s="2">
        <v>927</v>
      </c>
      <c r="M12">
        <v>0</v>
      </c>
      <c r="N12" s="2">
        <v>569.33000000000004</v>
      </c>
      <c r="O12" s="2">
        <v>18540</v>
      </c>
      <c r="P12" s="2">
        <v>11386.6</v>
      </c>
      <c r="Q12" s="2">
        <v>7153.4</v>
      </c>
      <c r="R12">
        <v>1</v>
      </c>
      <c r="S12" s="2" t="str">
        <f>TEXT(data[[#This Row],[Date]],"mmm yyyy")</f>
        <v>Feb 2025</v>
      </c>
      <c r="T12" s="8">
        <f>data[[#This Row],[Profit]]/data[[#This Row],[Revenue]]</f>
        <v>0.38583603020496221</v>
      </c>
    </row>
    <row r="13" spans="1:20" x14ac:dyDescent="0.3">
      <c r="A13">
        <v>10011</v>
      </c>
      <c r="B13" t="s">
        <v>28</v>
      </c>
      <c r="C13" t="s">
        <v>609</v>
      </c>
      <c r="D13" t="s">
        <v>613</v>
      </c>
      <c r="E13" t="s">
        <v>626</v>
      </c>
      <c r="F13" t="s">
        <v>641</v>
      </c>
      <c r="G13" t="s">
        <v>1761</v>
      </c>
      <c r="H13" t="s">
        <v>1768</v>
      </c>
      <c r="I13" t="s">
        <v>1775</v>
      </c>
      <c r="J13" t="s">
        <v>1776</v>
      </c>
      <c r="K13">
        <v>15</v>
      </c>
      <c r="L13" s="2">
        <v>1013</v>
      </c>
      <c r="M13">
        <v>0.05</v>
      </c>
      <c r="N13" s="2">
        <v>534.34</v>
      </c>
      <c r="O13" s="2">
        <v>14435.25</v>
      </c>
      <c r="P13" s="2">
        <v>8015.1</v>
      </c>
      <c r="Q13" s="2">
        <v>6420.15</v>
      </c>
      <c r="R13">
        <v>0</v>
      </c>
      <c r="S13" s="2" t="str">
        <f>TEXT(data[[#This Row],[Date]],"mmm yyyy")</f>
        <v>Apr 2024</v>
      </c>
      <c r="T13" s="8">
        <f>data[[#This Row],[Profit]]/data[[#This Row],[Revenue]]</f>
        <v>0.44475502675741674</v>
      </c>
    </row>
    <row r="14" spans="1:20" x14ac:dyDescent="0.3">
      <c r="A14">
        <v>10012</v>
      </c>
      <c r="B14" t="s">
        <v>29</v>
      </c>
      <c r="C14" t="s">
        <v>609</v>
      </c>
      <c r="D14" t="s">
        <v>613</v>
      </c>
      <c r="E14" t="s">
        <v>626</v>
      </c>
      <c r="F14" t="s">
        <v>642</v>
      </c>
      <c r="G14" t="s">
        <v>1764</v>
      </c>
      <c r="H14" t="s">
        <v>1769</v>
      </c>
      <c r="I14" t="s">
        <v>1775</v>
      </c>
      <c r="J14" t="s">
        <v>1779</v>
      </c>
      <c r="K14">
        <v>5</v>
      </c>
      <c r="L14" s="2">
        <v>342</v>
      </c>
      <c r="M14">
        <v>0.1</v>
      </c>
      <c r="N14" s="2">
        <v>252.69</v>
      </c>
      <c r="O14" s="2">
        <v>1539</v>
      </c>
      <c r="P14" s="2">
        <v>1263.45</v>
      </c>
      <c r="Q14" s="2">
        <v>275.55</v>
      </c>
      <c r="R14">
        <v>0</v>
      </c>
      <c r="S14" s="2" t="str">
        <f>TEXT(data[[#This Row],[Date]],"mmm yyyy")</f>
        <v>Apr 2025</v>
      </c>
      <c r="T14" s="8">
        <f>data[[#This Row],[Profit]]/data[[#This Row],[Revenue]]</f>
        <v>0.1790448343079922</v>
      </c>
    </row>
    <row r="15" spans="1:20" x14ac:dyDescent="0.3">
      <c r="A15">
        <v>10013</v>
      </c>
      <c r="B15" t="s">
        <v>30</v>
      </c>
      <c r="C15" t="s">
        <v>607</v>
      </c>
      <c r="D15" t="s">
        <v>617</v>
      </c>
      <c r="E15" t="s">
        <v>627</v>
      </c>
      <c r="F15" t="s">
        <v>643</v>
      </c>
      <c r="G15" t="s">
        <v>1760</v>
      </c>
      <c r="H15" t="s">
        <v>1768</v>
      </c>
      <c r="I15" t="s">
        <v>1773</v>
      </c>
      <c r="J15" t="s">
        <v>1778</v>
      </c>
      <c r="K15">
        <v>4</v>
      </c>
      <c r="L15" s="2">
        <v>947</v>
      </c>
      <c r="M15">
        <v>0.1</v>
      </c>
      <c r="N15" s="2">
        <v>648.78</v>
      </c>
      <c r="O15" s="2">
        <v>3409.2</v>
      </c>
      <c r="P15" s="2">
        <v>2595.12</v>
      </c>
      <c r="Q15" s="2">
        <v>814.08</v>
      </c>
      <c r="R15">
        <v>1</v>
      </c>
      <c r="S15" s="2" t="str">
        <f>TEXT(data[[#This Row],[Date]],"mmm yyyy")</f>
        <v>Dec 2025</v>
      </c>
      <c r="T15" s="8">
        <f>data[[#This Row],[Profit]]/data[[#This Row],[Revenue]]</f>
        <v>0.23878915874692011</v>
      </c>
    </row>
    <row r="16" spans="1:20" x14ac:dyDescent="0.3">
      <c r="A16">
        <v>10014</v>
      </c>
      <c r="B16" t="s">
        <v>31</v>
      </c>
      <c r="C16" t="s">
        <v>608</v>
      </c>
      <c r="D16" t="s">
        <v>614</v>
      </c>
      <c r="E16" t="s">
        <v>627</v>
      </c>
      <c r="F16" t="s">
        <v>644</v>
      </c>
      <c r="G16" t="s">
        <v>1766</v>
      </c>
      <c r="H16" t="s">
        <v>1769</v>
      </c>
      <c r="I16" t="s">
        <v>1774</v>
      </c>
      <c r="J16" t="s">
        <v>1777</v>
      </c>
      <c r="K16">
        <v>3</v>
      </c>
      <c r="L16" s="2">
        <v>302</v>
      </c>
      <c r="M16">
        <v>0.1</v>
      </c>
      <c r="N16" s="2">
        <v>190.14</v>
      </c>
      <c r="O16" s="2">
        <v>815.4</v>
      </c>
      <c r="P16" s="2">
        <v>570.41999999999996</v>
      </c>
      <c r="Q16" s="2">
        <v>244.98</v>
      </c>
      <c r="R16">
        <v>0</v>
      </c>
      <c r="S16" s="2" t="str">
        <f>TEXT(data[[#This Row],[Date]],"mmm yyyy")</f>
        <v>Dec 2024</v>
      </c>
      <c r="T16" s="8">
        <f>data[[#This Row],[Profit]]/data[[#This Row],[Revenue]]</f>
        <v>0.30044150110375273</v>
      </c>
    </row>
    <row r="17" spans="1:20" x14ac:dyDescent="0.3">
      <c r="A17">
        <v>10015</v>
      </c>
      <c r="B17" t="s">
        <v>32</v>
      </c>
      <c r="C17" t="s">
        <v>608</v>
      </c>
      <c r="D17" t="s">
        <v>618</v>
      </c>
      <c r="E17" t="s">
        <v>626</v>
      </c>
      <c r="F17" t="s">
        <v>645</v>
      </c>
      <c r="G17" t="s">
        <v>1764</v>
      </c>
      <c r="H17" t="s">
        <v>1767</v>
      </c>
      <c r="I17" t="s">
        <v>1775</v>
      </c>
      <c r="J17" t="s">
        <v>1777</v>
      </c>
      <c r="K17">
        <v>8</v>
      </c>
      <c r="L17" s="2">
        <v>269</v>
      </c>
      <c r="M17">
        <v>0.05</v>
      </c>
      <c r="N17" s="2">
        <v>169.31</v>
      </c>
      <c r="O17" s="2">
        <v>2044.4</v>
      </c>
      <c r="P17" s="2">
        <v>1354.48</v>
      </c>
      <c r="Q17" s="2">
        <v>689.92</v>
      </c>
      <c r="R17">
        <v>0</v>
      </c>
      <c r="S17" s="2" t="str">
        <f>TEXT(data[[#This Row],[Date]],"mmm yyyy")</f>
        <v>Jan 2024</v>
      </c>
      <c r="T17" s="8">
        <f>data[[#This Row],[Profit]]/data[[#This Row],[Revenue]]</f>
        <v>0.33746820583056147</v>
      </c>
    </row>
    <row r="18" spans="1:20" x14ac:dyDescent="0.3">
      <c r="A18">
        <v>10016</v>
      </c>
      <c r="B18" t="s">
        <v>33</v>
      </c>
      <c r="C18" t="s">
        <v>606</v>
      </c>
      <c r="D18" t="s">
        <v>616</v>
      </c>
      <c r="E18" t="s">
        <v>627</v>
      </c>
      <c r="F18" t="s">
        <v>646</v>
      </c>
      <c r="G18" t="s">
        <v>1759</v>
      </c>
      <c r="H18" t="s">
        <v>1770</v>
      </c>
      <c r="I18" t="s">
        <v>1775</v>
      </c>
      <c r="J18" t="s">
        <v>1776</v>
      </c>
      <c r="K18">
        <v>12</v>
      </c>
      <c r="L18" s="2">
        <v>757</v>
      </c>
      <c r="M18">
        <v>0</v>
      </c>
      <c r="N18" s="2">
        <v>420.22</v>
      </c>
      <c r="O18" s="2">
        <v>9084</v>
      </c>
      <c r="P18" s="2">
        <v>5042.6400000000003</v>
      </c>
      <c r="Q18" s="2">
        <v>4041.36</v>
      </c>
      <c r="R18">
        <v>0</v>
      </c>
      <c r="S18" s="2" t="str">
        <f>TEXT(data[[#This Row],[Date]],"mmm yyyy")</f>
        <v>Apr 2025</v>
      </c>
      <c r="T18" s="8">
        <f>data[[#This Row],[Profit]]/data[[#This Row],[Revenue]]</f>
        <v>0.44488771466314403</v>
      </c>
    </row>
    <row r="19" spans="1:20" x14ac:dyDescent="0.3">
      <c r="A19">
        <v>10017</v>
      </c>
      <c r="B19" t="s">
        <v>34</v>
      </c>
      <c r="C19" t="s">
        <v>607</v>
      </c>
      <c r="D19" t="s">
        <v>617</v>
      </c>
      <c r="E19" t="s">
        <v>627</v>
      </c>
      <c r="F19" t="s">
        <v>647</v>
      </c>
      <c r="G19" t="s">
        <v>1766</v>
      </c>
      <c r="H19" t="s">
        <v>1770</v>
      </c>
      <c r="I19" t="s">
        <v>1773</v>
      </c>
      <c r="J19" t="s">
        <v>1779</v>
      </c>
      <c r="K19">
        <v>4</v>
      </c>
      <c r="L19" s="2">
        <v>486</v>
      </c>
      <c r="M19">
        <v>0.15</v>
      </c>
      <c r="N19" s="2">
        <v>338.05</v>
      </c>
      <c r="O19" s="2">
        <v>1652.4</v>
      </c>
      <c r="P19" s="2">
        <v>1352.2</v>
      </c>
      <c r="Q19" s="2">
        <v>300.2</v>
      </c>
      <c r="R19">
        <v>0</v>
      </c>
      <c r="S19" s="2" t="str">
        <f>TEXT(data[[#This Row],[Date]],"mmm yyyy")</f>
        <v>May 2025</v>
      </c>
      <c r="T19" s="8">
        <f>data[[#This Row],[Profit]]/data[[#This Row],[Revenue]]</f>
        <v>0.18167513919147904</v>
      </c>
    </row>
    <row r="20" spans="1:20" x14ac:dyDescent="0.3">
      <c r="A20">
        <v>10018</v>
      </c>
      <c r="B20" t="s">
        <v>35</v>
      </c>
      <c r="C20" t="s">
        <v>607</v>
      </c>
      <c r="D20" t="s">
        <v>611</v>
      </c>
      <c r="E20" t="s">
        <v>628</v>
      </c>
      <c r="F20" t="s">
        <v>648</v>
      </c>
      <c r="G20" t="s">
        <v>1764</v>
      </c>
      <c r="H20" t="s">
        <v>1770</v>
      </c>
      <c r="I20" t="s">
        <v>1774</v>
      </c>
      <c r="J20" t="s">
        <v>1778</v>
      </c>
      <c r="K20">
        <v>6</v>
      </c>
      <c r="L20" s="2">
        <v>486</v>
      </c>
      <c r="M20">
        <v>0.05</v>
      </c>
      <c r="N20" s="2">
        <v>363.66</v>
      </c>
      <c r="O20" s="2">
        <v>2770.2</v>
      </c>
      <c r="P20" s="2">
        <v>2181.96</v>
      </c>
      <c r="Q20" s="2">
        <v>588.24</v>
      </c>
      <c r="R20">
        <v>0</v>
      </c>
      <c r="S20" s="2" t="str">
        <f>TEXT(data[[#This Row],[Date]],"mmm yyyy")</f>
        <v>Jun 2024</v>
      </c>
      <c r="T20" s="8">
        <f>data[[#This Row],[Profit]]/data[[#This Row],[Revenue]]</f>
        <v>0.21234567901234569</v>
      </c>
    </row>
    <row r="21" spans="1:20" x14ac:dyDescent="0.3">
      <c r="A21">
        <v>10019</v>
      </c>
      <c r="B21" t="s">
        <v>36</v>
      </c>
      <c r="C21" t="s">
        <v>608</v>
      </c>
      <c r="D21" t="s">
        <v>618</v>
      </c>
      <c r="E21" t="s">
        <v>627</v>
      </c>
      <c r="F21" t="s">
        <v>649</v>
      </c>
      <c r="G21" t="s">
        <v>1760</v>
      </c>
      <c r="H21" t="s">
        <v>1768</v>
      </c>
      <c r="I21" t="s">
        <v>1775</v>
      </c>
      <c r="J21" t="s">
        <v>1777</v>
      </c>
      <c r="K21">
        <v>4</v>
      </c>
      <c r="L21" s="2">
        <v>814</v>
      </c>
      <c r="M21">
        <v>0.2</v>
      </c>
      <c r="N21" s="2">
        <v>559.52</v>
      </c>
      <c r="O21" s="2">
        <v>2604.8000000000002</v>
      </c>
      <c r="P21" s="2">
        <v>2238.08</v>
      </c>
      <c r="Q21" s="2">
        <v>366.72</v>
      </c>
      <c r="R21">
        <v>0</v>
      </c>
      <c r="S21" s="2" t="str">
        <f>TEXT(data[[#This Row],[Date]],"mmm yyyy")</f>
        <v>Mar 2025</v>
      </c>
      <c r="T21" s="8">
        <f>data[[#This Row],[Profit]]/data[[#This Row],[Revenue]]</f>
        <v>0.14078624078624077</v>
      </c>
    </row>
    <row r="22" spans="1:20" x14ac:dyDescent="0.3">
      <c r="A22">
        <v>10020</v>
      </c>
      <c r="B22" t="s">
        <v>37</v>
      </c>
      <c r="C22" t="s">
        <v>606</v>
      </c>
      <c r="D22" t="s">
        <v>610</v>
      </c>
      <c r="E22" t="s">
        <v>629</v>
      </c>
      <c r="F22" t="s">
        <v>650</v>
      </c>
      <c r="G22" t="s">
        <v>1763</v>
      </c>
      <c r="H22" t="s">
        <v>1769</v>
      </c>
      <c r="I22" t="s">
        <v>1774</v>
      </c>
      <c r="J22" t="s">
        <v>1777</v>
      </c>
      <c r="K22">
        <v>9</v>
      </c>
      <c r="L22" s="2">
        <v>316</v>
      </c>
      <c r="M22">
        <v>0.2</v>
      </c>
      <c r="N22" s="2">
        <v>191.1</v>
      </c>
      <c r="O22" s="2">
        <v>2275.1999999999998</v>
      </c>
      <c r="P22" s="2">
        <v>1719.9</v>
      </c>
      <c r="Q22" s="2">
        <v>555.29999999999995</v>
      </c>
      <c r="R22">
        <v>0</v>
      </c>
      <c r="S22" s="2" t="str">
        <f>TEXT(data[[#This Row],[Date]],"mmm yyyy")</f>
        <v>Mar 2024</v>
      </c>
      <c r="T22" s="8">
        <f>data[[#This Row],[Profit]]/data[[#This Row],[Revenue]]</f>
        <v>0.24406645569620253</v>
      </c>
    </row>
    <row r="23" spans="1:20" x14ac:dyDescent="0.3">
      <c r="A23">
        <v>10021</v>
      </c>
      <c r="B23" t="s">
        <v>38</v>
      </c>
      <c r="C23" t="s">
        <v>608</v>
      </c>
      <c r="D23" t="s">
        <v>614</v>
      </c>
      <c r="E23" t="s">
        <v>627</v>
      </c>
      <c r="F23" t="s">
        <v>651</v>
      </c>
      <c r="G23" t="s">
        <v>1761</v>
      </c>
      <c r="H23" t="s">
        <v>1767</v>
      </c>
      <c r="I23" t="s">
        <v>1774</v>
      </c>
      <c r="J23" t="s">
        <v>1776</v>
      </c>
      <c r="K23">
        <v>6</v>
      </c>
      <c r="L23" s="2">
        <v>278</v>
      </c>
      <c r="M23">
        <v>0.2</v>
      </c>
      <c r="N23" s="2">
        <v>139.27000000000001</v>
      </c>
      <c r="O23" s="2">
        <v>1334.4</v>
      </c>
      <c r="P23" s="2">
        <v>835.62</v>
      </c>
      <c r="Q23" s="2">
        <v>498.78</v>
      </c>
      <c r="R23">
        <v>0</v>
      </c>
      <c r="S23" s="2" t="str">
        <f>TEXT(data[[#This Row],[Date]],"mmm yyyy")</f>
        <v>Jun 2024</v>
      </c>
      <c r="T23" s="8">
        <f>data[[#This Row],[Profit]]/data[[#This Row],[Revenue]]</f>
        <v>0.37378597122302154</v>
      </c>
    </row>
    <row r="24" spans="1:20" x14ac:dyDescent="0.3">
      <c r="A24">
        <v>10022</v>
      </c>
      <c r="B24" t="s">
        <v>39</v>
      </c>
      <c r="C24" t="s">
        <v>606</v>
      </c>
      <c r="D24" t="s">
        <v>616</v>
      </c>
      <c r="E24" t="s">
        <v>628</v>
      </c>
      <c r="F24" t="s">
        <v>652</v>
      </c>
      <c r="G24" t="s">
        <v>1761</v>
      </c>
      <c r="H24" t="s">
        <v>1768</v>
      </c>
      <c r="I24" t="s">
        <v>1775</v>
      </c>
      <c r="J24" t="s">
        <v>1778</v>
      </c>
      <c r="K24">
        <v>2</v>
      </c>
      <c r="L24" s="2">
        <v>1373</v>
      </c>
      <c r="M24">
        <v>0.05</v>
      </c>
      <c r="N24" s="2">
        <v>752.17</v>
      </c>
      <c r="O24" s="2">
        <v>2608.6999999999998</v>
      </c>
      <c r="P24" s="2">
        <v>1504.34</v>
      </c>
      <c r="Q24" s="2">
        <v>1104.3599999999999</v>
      </c>
      <c r="R24">
        <v>0</v>
      </c>
      <c r="S24" s="2" t="str">
        <f>TEXT(data[[#This Row],[Date]],"mmm yyyy")</f>
        <v>Apr 2024</v>
      </c>
      <c r="T24" s="8">
        <f>data[[#This Row],[Profit]]/data[[#This Row],[Revenue]]</f>
        <v>0.42333729443784257</v>
      </c>
    </row>
    <row r="25" spans="1:20" x14ac:dyDescent="0.3">
      <c r="A25">
        <v>10023</v>
      </c>
      <c r="B25" t="s">
        <v>40</v>
      </c>
      <c r="C25" t="s">
        <v>608</v>
      </c>
      <c r="D25" t="s">
        <v>612</v>
      </c>
      <c r="E25" t="s">
        <v>629</v>
      </c>
      <c r="F25" t="s">
        <v>653</v>
      </c>
      <c r="G25" t="s">
        <v>1764</v>
      </c>
      <c r="H25" t="s">
        <v>1767</v>
      </c>
      <c r="I25" t="s">
        <v>1773</v>
      </c>
      <c r="J25" t="s">
        <v>1779</v>
      </c>
      <c r="K25">
        <v>18</v>
      </c>
      <c r="L25" s="2">
        <v>210</v>
      </c>
      <c r="M25">
        <v>0.15</v>
      </c>
      <c r="N25" s="2">
        <v>131.66</v>
      </c>
      <c r="O25" s="2">
        <v>3213</v>
      </c>
      <c r="P25" s="2">
        <v>2369.88</v>
      </c>
      <c r="Q25" s="2">
        <v>843.12</v>
      </c>
      <c r="R25">
        <v>0</v>
      </c>
      <c r="S25" s="2" t="str">
        <f>TEXT(data[[#This Row],[Date]],"mmm yyyy")</f>
        <v>Dec 2025</v>
      </c>
      <c r="T25" s="8">
        <f>data[[#This Row],[Profit]]/data[[#This Row],[Revenue]]</f>
        <v>0.2624089635854342</v>
      </c>
    </row>
    <row r="26" spans="1:20" x14ac:dyDescent="0.3">
      <c r="A26">
        <v>10024</v>
      </c>
      <c r="B26" t="s">
        <v>41</v>
      </c>
      <c r="C26" t="s">
        <v>609</v>
      </c>
      <c r="D26" t="s">
        <v>619</v>
      </c>
      <c r="E26" t="s">
        <v>629</v>
      </c>
      <c r="F26" t="s">
        <v>654</v>
      </c>
      <c r="G26" t="s">
        <v>1765</v>
      </c>
      <c r="H26" t="s">
        <v>1767</v>
      </c>
      <c r="I26" t="s">
        <v>1774</v>
      </c>
      <c r="J26" t="s">
        <v>1778</v>
      </c>
      <c r="K26">
        <v>3</v>
      </c>
      <c r="L26" s="2">
        <v>160</v>
      </c>
      <c r="M26">
        <v>0.05</v>
      </c>
      <c r="N26" s="2">
        <v>97.13</v>
      </c>
      <c r="O26" s="2">
        <v>456</v>
      </c>
      <c r="P26" s="2">
        <v>291.39</v>
      </c>
      <c r="Q26" s="2">
        <v>164.61</v>
      </c>
      <c r="R26">
        <v>0</v>
      </c>
      <c r="S26" s="2" t="str">
        <f>TEXT(data[[#This Row],[Date]],"mmm yyyy")</f>
        <v>Nov 2025</v>
      </c>
      <c r="T26" s="8">
        <f>data[[#This Row],[Profit]]/data[[#This Row],[Revenue]]</f>
        <v>0.36098684210526316</v>
      </c>
    </row>
    <row r="27" spans="1:20" x14ac:dyDescent="0.3">
      <c r="A27">
        <v>10025</v>
      </c>
      <c r="B27" t="s">
        <v>42</v>
      </c>
      <c r="C27" t="s">
        <v>608</v>
      </c>
      <c r="D27" t="s">
        <v>612</v>
      </c>
      <c r="E27" t="s">
        <v>627</v>
      </c>
      <c r="F27" t="s">
        <v>655</v>
      </c>
      <c r="G27" t="s">
        <v>1763</v>
      </c>
      <c r="H27" t="s">
        <v>1771</v>
      </c>
      <c r="I27" t="s">
        <v>1774</v>
      </c>
      <c r="J27" t="s">
        <v>1779</v>
      </c>
      <c r="K27">
        <v>8</v>
      </c>
      <c r="L27" s="2">
        <v>539</v>
      </c>
      <c r="M27">
        <v>0</v>
      </c>
      <c r="N27" s="2">
        <v>323.17</v>
      </c>
      <c r="O27" s="2">
        <v>4312</v>
      </c>
      <c r="P27" s="2">
        <v>2585.36</v>
      </c>
      <c r="Q27" s="2">
        <v>1726.64</v>
      </c>
      <c r="R27">
        <v>1</v>
      </c>
      <c r="S27" s="2" t="str">
        <f>TEXT(data[[#This Row],[Date]],"mmm yyyy")</f>
        <v>Jun 2024</v>
      </c>
      <c r="T27" s="8">
        <f>data[[#This Row],[Profit]]/data[[#This Row],[Revenue]]</f>
        <v>0.40042671614100189</v>
      </c>
    </row>
    <row r="28" spans="1:20" x14ac:dyDescent="0.3">
      <c r="A28">
        <v>10026</v>
      </c>
      <c r="B28" t="s">
        <v>43</v>
      </c>
      <c r="C28" t="s">
        <v>606</v>
      </c>
      <c r="D28" t="s">
        <v>616</v>
      </c>
      <c r="E28" t="s">
        <v>628</v>
      </c>
      <c r="F28" t="s">
        <v>656</v>
      </c>
      <c r="G28" t="s">
        <v>1760</v>
      </c>
      <c r="H28" t="s">
        <v>1771</v>
      </c>
      <c r="I28" t="s">
        <v>1775</v>
      </c>
      <c r="J28" t="s">
        <v>1778</v>
      </c>
      <c r="K28">
        <v>11</v>
      </c>
      <c r="L28" s="2">
        <v>482</v>
      </c>
      <c r="M28">
        <v>0</v>
      </c>
      <c r="N28" s="2">
        <v>328.02</v>
      </c>
      <c r="O28" s="2">
        <v>5302</v>
      </c>
      <c r="P28" s="2">
        <v>3608.22</v>
      </c>
      <c r="Q28" s="2">
        <v>1693.78</v>
      </c>
      <c r="R28">
        <v>0</v>
      </c>
      <c r="S28" s="2" t="str">
        <f>TEXT(data[[#This Row],[Date]],"mmm yyyy")</f>
        <v>Dec 2024</v>
      </c>
      <c r="T28" s="8">
        <f>data[[#This Row],[Profit]]/data[[#This Row],[Revenue]]</f>
        <v>0.31946058091286306</v>
      </c>
    </row>
    <row r="29" spans="1:20" x14ac:dyDescent="0.3">
      <c r="A29">
        <v>10027</v>
      </c>
      <c r="B29" t="s">
        <v>44</v>
      </c>
      <c r="C29" t="s">
        <v>606</v>
      </c>
      <c r="D29" t="s">
        <v>620</v>
      </c>
      <c r="E29" t="s">
        <v>629</v>
      </c>
      <c r="F29" t="s">
        <v>657</v>
      </c>
      <c r="G29" t="s">
        <v>1763</v>
      </c>
      <c r="H29" t="s">
        <v>1768</v>
      </c>
      <c r="I29" t="s">
        <v>1774</v>
      </c>
      <c r="J29" t="s">
        <v>1778</v>
      </c>
      <c r="K29">
        <v>4</v>
      </c>
      <c r="L29" s="2">
        <v>1034</v>
      </c>
      <c r="M29">
        <v>0</v>
      </c>
      <c r="N29" s="2">
        <v>585.65</v>
      </c>
      <c r="O29" s="2">
        <v>4136</v>
      </c>
      <c r="P29" s="2">
        <v>2342.6</v>
      </c>
      <c r="Q29" s="2">
        <v>1793.4</v>
      </c>
      <c r="R29">
        <v>0</v>
      </c>
      <c r="S29" s="2" t="str">
        <f>TEXT(data[[#This Row],[Date]],"mmm yyyy")</f>
        <v>Jul 2024</v>
      </c>
      <c r="T29" s="8">
        <f>data[[#This Row],[Profit]]/data[[#This Row],[Revenue]]</f>
        <v>0.43360735009671181</v>
      </c>
    </row>
    <row r="30" spans="1:20" x14ac:dyDescent="0.3">
      <c r="A30">
        <v>10028</v>
      </c>
      <c r="B30" t="s">
        <v>45</v>
      </c>
      <c r="C30" t="s">
        <v>607</v>
      </c>
      <c r="D30" t="s">
        <v>621</v>
      </c>
      <c r="E30" t="s">
        <v>626</v>
      </c>
      <c r="F30" t="s">
        <v>658</v>
      </c>
      <c r="G30" t="s">
        <v>1763</v>
      </c>
      <c r="H30" t="s">
        <v>1769</v>
      </c>
      <c r="I30" t="s">
        <v>1773</v>
      </c>
      <c r="J30" t="s">
        <v>1778</v>
      </c>
      <c r="K30">
        <v>19</v>
      </c>
      <c r="L30" s="2">
        <v>413</v>
      </c>
      <c r="M30">
        <v>0.15</v>
      </c>
      <c r="N30" s="2">
        <v>278.82</v>
      </c>
      <c r="O30" s="2">
        <v>6669.95</v>
      </c>
      <c r="P30" s="2">
        <v>5297.58</v>
      </c>
      <c r="Q30" s="2">
        <v>1372.37</v>
      </c>
      <c r="R30">
        <v>0</v>
      </c>
      <c r="S30" s="2" t="str">
        <f>TEXT(data[[#This Row],[Date]],"mmm yyyy")</f>
        <v>Oct 2024</v>
      </c>
      <c r="T30" s="8">
        <f>data[[#This Row],[Profit]]/data[[#This Row],[Revenue]]</f>
        <v>0.20575416607320893</v>
      </c>
    </row>
    <row r="31" spans="1:20" x14ac:dyDescent="0.3">
      <c r="A31">
        <v>10029</v>
      </c>
      <c r="B31" t="s">
        <v>46</v>
      </c>
      <c r="C31" t="s">
        <v>609</v>
      </c>
      <c r="D31" t="s">
        <v>622</v>
      </c>
      <c r="E31" t="s">
        <v>626</v>
      </c>
      <c r="F31" t="s">
        <v>659</v>
      </c>
      <c r="G31" t="s">
        <v>1763</v>
      </c>
      <c r="H31" t="s">
        <v>1772</v>
      </c>
      <c r="I31" t="s">
        <v>1775</v>
      </c>
      <c r="J31" t="s">
        <v>1777</v>
      </c>
      <c r="K31">
        <v>20</v>
      </c>
      <c r="L31" s="2">
        <v>585</v>
      </c>
      <c r="M31">
        <v>0.05</v>
      </c>
      <c r="N31" s="2">
        <v>302.24</v>
      </c>
      <c r="O31" s="2">
        <v>11115</v>
      </c>
      <c r="P31" s="2">
        <v>6044.8</v>
      </c>
      <c r="Q31" s="2">
        <v>5070.2</v>
      </c>
      <c r="R31">
        <v>0</v>
      </c>
      <c r="S31" s="2" t="str">
        <f>TEXT(data[[#This Row],[Date]],"mmm yyyy")</f>
        <v>Apr 2025</v>
      </c>
      <c r="T31" s="8">
        <f>data[[#This Row],[Profit]]/data[[#This Row],[Revenue]]</f>
        <v>0.45615834457939719</v>
      </c>
    </row>
    <row r="32" spans="1:20" x14ac:dyDescent="0.3">
      <c r="A32">
        <v>10030</v>
      </c>
      <c r="B32" t="s">
        <v>47</v>
      </c>
      <c r="C32" t="s">
        <v>609</v>
      </c>
      <c r="D32" t="s">
        <v>613</v>
      </c>
      <c r="E32" t="s">
        <v>629</v>
      </c>
      <c r="F32" t="s">
        <v>660</v>
      </c>
      <c r="G32" t="s">
        <v>1759</v>
      </c>
      <c r="H32" t="s">
        <v>1768</v>
      </c>
      <c r="I32" t="s">
        <v>1775</v>
      </c>
      <c r="J32" t="s">
        <v>1779</v>
      </c>
      <c r="K32">
        <v>9</v>
      </c>
      <c r="L32" s="2">
        <v>965</v>
      </c>
      <c r="M32">
        <v>0</v>
      </c>
      <c r="N32" s="2">
        <v>526.20000000000005</v>
      </c>
      <c r="O32" s="2">
        <v>8685</v>
      </c>
      <c r="P32" s="2">
        <v>4735.8</v>
      </c>
      <c r="Q32" s="2">
        <v>3949.2</v>
      </c>
      <c r="R32">
        <v>0</v>
      </c>
      <c r="S32" s="2" t="str">
        <f>TEXT(data[[#This Row],[Date]],"mmm yyyy")</f>
        <v>Oct 2025</v>
      </c>
      <c r="T32" s="8">
        <f>data[[#This Row],[Profit]]/data[[#This Row],[Revenue]]</f>
        <v>0.45471502590673574</v>
      </c>
    </row>
    <row r="33" spans="1:20" x14ac:dyDescent="0.3">
      <c r="A33">
        <v>10031</v>
      </c>
      <c r="B33" t="s">
        <v>48</v>
      </c>
      <c r="C33" t="s">
        <v>608</v>
      </c>
      <c r="D33" t="s">
        <v>612</v>
      </c>
      <c r="E33" t="s">
        <v>628</v>
      </c>
      <c r="F33" t="s">
        <v>661</v>
      </c>
      <c r="G33" t="s">
        <v>1764</v>
      </c>
      <c r="H33" t="s">
        <v>1772</v>
      </c>
      <c r="I33" t="s">
        <v>1773</v>
      </c>
      <c r="J33" t="s">
        <v>1779</v>
      </c>
      <c r="K33">
        <v>9</v>
      </c>
      <c r="L33" s="2">
        <v>518</v>
      </c>
      <c r="M33">
        <v>0</v>
      </c>
      <c r="N33" s="2">
        <v>260.99</v>
      </c>
      <c r="O33" s="2">
        <v>4662</v>
      </c>
      <c r="P33" s="2">
        <v>2348.91</v>
      </c>
      <c r="Q33" s="2">
        <v>2313.09</v>
      </c>
      <c r="R33">
        <v>0</v>
      </c>
      <c r="S33" s="2" t="str">
        <f>TEXT(data[[#This Row],[Date]],"mmm yyyy")</f>
        <v>Jun 2025</v>
      </c>
      <c r="T33" s="8">
        <f>data[[#This Row],[Profit]]/data[[#This Row],[Revenue]]</f>
        <v>0.49615830115830117</v>
      </c>
    </row>
    <row r="34" spans="1:20" x14ac:dyDescent="0.3">
      <c r="A34">
        <v>10032</v>
      </c>
      <c r="B34" t="s">
        <v>49</v>
      </c>
      <c r="C34" t="s">
        <v>607</v>
      </c>
      <c r="D34" t="s">
        <v>611</v>
      </c>
      <c r="E34" t="s">
        <v>629</v>
      </c>
      <c r="F34" t="s">
        <v>662</v>
      </c>
      <c r="G34" t="s">
        <v>1765</v>
      </c>
      <c r="H34" t="s">
        <v>1769</v>
      </c>
      <c r="I34" t="s">
        <v>1773</v>
      </c>
      <c r="J34" t="s">
        <v>1776</v>
      </c>
      <c r="K34">
        <v>7</v>
      </c>
      <c r="L34" s="2">
        <v>307</v>
      </c>
      <c r="M34">
        <v>0.05</v>
      </c>
      <c r="N34" s="2">
        <v>179.8</v>
      </c>
      <c r="O34" s="2">
        <v>2041.55</v>
      </c>
      <c r="P34" s="2">
        <v>1258.5999999999999</v>
      </c>
      <c r="Q34" s="2">
        <v>782.95</v>
      </c>
      <c r="R34">
        <v>0</v>
      </c>
      <c r="S34" s="2" t="str">
        <f>TEXT(data[[#This Row],[Date]],"mmm yyyy")</f>
        <v>Feb 2025</v>
      </c>
      <c r="T34" s="8">
        <f>data[[#This Row],[Profit]]/data[[#This Row],[Revenue]]</f>
        <v>0.3835076290073719</v>
      </c>
    </row>
    <row r="35" spans="1:20" x14ac:dyDescent="0.3">
      <c r="A35">
        <v>10033</v>
      </c>
      <c r="B35" t="s">
        <v>50</v>
      </c>
      <c r="C35" t="s">
        <v>606</v>
      </c>
      <c r="D35" t="s">
        <v>616</v>
      </c>
      <c r="E35" t="s">
        <v>627</v>
      </c>
      <c r="F35" t="s">
        <v>663</v>
      </c>
      <c r="G35" t="s">
        <v>1760</v>
      </c>
      <c r="H35" t="s">
        <v>1771</v>
      </c>
      <c r="I35" t="s">
        <v>1775</v>
      </c>
      <c r="J35" t="s">
        <v>1777</v>
      </c>
      <c r="K35">
        <v>3</v>
      </c>
      <c r="L35" s="2">
        <v>328</v>
      </c>
      <c r="M35">
        <v>0.15</v>
      </c>
      <c r="N35" s="2">
        <v>235.38</v>
      </c>
      <c r="O35" s="2">
        <v>836.4</v>
      </c>
      <c r="P35" s="2">
        <v>706.14</v>
      </c>
      <c r="Q35" s="2">
        <v>130.26</v>
      </c>
      <c r="R35">
        <v>0</v>
      </c>
      <c r="S35" s="2" t="str">
        <f>TEXT(data[[#This Row],[Date]],"mmm yyyy")</f>
        <v>Sep 2025</v>
      </c>
      <c r="T35" s="8">
        <f>data[[#This Row],[Profit]]/data[[#This Row],[Revenue]]</f>
        <v>0.15573888091822094</v>
      </c>
    </row>
    <row r="36" spans="1:20" x14ac:dyDescent="0.3">
      <c r="A36">
        <v>10034</v>
      </c>
      <c r="B36" t="s">
        <v>51</v>
      </c>
      <c r="C36" t="s">
        <v>608</v>
      </c>
      <c r="D36" t="s">
        <v>612</v>
      </c>
      <c r="E36" t="s">
        <v>626</v>
      </c>
      <c r="F36" t="s">
        <v>664</v>
      </c>
      <c r="G36" t="s">
        <v>1759</v>
      </c>
      <c r="H36" t="s">
        <v>1767</v>
      </c>
      <c r="I36" t="s">
        <v>1775</v>
      </c>
      <c r="J36" t="s">
        <v>1777</v>
      </c>
      <c r="K36">
        <v>9</v>
      </c>
      <c r="L36" s="2">
        <v>80</v>
      </c>
      <c r="M36">
        <v>0.1</v>
      </c>
      <c r="N36" s="2">
        <v>59.24</v>
      </c>
      <c r="O36" s="2">
        <v>648</v>
      </c>
      <c r="P36" s="2">
        <v>533.16</v>
      </c>
      <c r="Q36" s="2">
        <v>114.84</v>
      </c>
      <c r="R36">
        <v>0</v>
      </c>
      <c r="S36" s="2" t="str">
        <f>TEXT(data[[#This Row],[Date]],"mmm yyyy")</f>
        <v>Sep 2024</v>
      </c>
      <c r="T36" s="8">
        <f>data[[#This Row],[Profit]]/data[[#This Row],[Revenue]]</f>
        <v>0.17722222222222223</v>
      </c>
    </row>
    <row r="37" spans="1:20" x14ac:dyDescent="0.3">
      <c r="A37">
        <v>10035</v>
      </c>
      <c r="B37" t="s">
        <v>52</v>
      </c>
      <c r="C37" t="s">
        <v>609</v>
      </c>
      <c r="D37" t="s">
        <v>623</v>
      </c>
      <c r="E37" t="s">
        <v>626</v>
      </c>
      <c r="F37" t="s">
        <v>665</v>
      </c>
      <c r="G37" t="s">
        <v>1762</v>
      </c>
      <c r="H37" t="s">
        <v>1767</v>
      </c>
      <c r="I37" t="s">
        <v>1773</v>
      </c>
      <c r="J37" t="s">
        <v>1777</v>
      </c>
      <c r="K37">
        <v>16</v>
      </c>
      <c r="L37" s="2">
        <v>101</v>
      </c>
      <c r="M37">
        <v>0.1</v>
      </c>
      <c r="N37" s="2">
        <v>63.19</v>
      </c>
      <c r="O37" s="2">
        <v>1454.4</v>
      </c>
      <c r="P37" s="2">
        <v>1011.04</v>
      </c>
      <c r="Q37" s="2">
        <v>443.36</v>
      </c>
      <c r="R37">
        <v>0</v>
      </c>
      <c r="S37" s="2" t="str">
        <f>TEXT(data[[#This Row],[Date]],"mmm yyyy")</f>
        <v>Sep 2024</v>
      </c>
      <c r="T37" s="8">
        <f>data[[#This Row],[Profit]]/data[[#This Row],[Revenue]]</f>
        <v>0.30484048404840486</v>
      </c>
    </row>
    <row r="38" spans="1:20" x14ac:dyDescent="0.3">
      <c r="A38">
        <v>10036</v>
      </c>
      <c r="B38" t="s">
        <v>21</v>
      </c>
      <c r="C38" t="s">
        <v>607</v>
      </c>
      <c r="D38" t="s">
        <v>624</v>
      </c>
      <c r="E38" t="s">
        <v>627</v>
      </c>
      <c r="F38" t="s">
        <v>666</v>
      </c>
      <c r="G38" t="s">
        <v>1766</v>
      </c>
      <c r="H38" t="s">
        <v>1767</v>
      </c>
      <c r="I38" t="s">
        <v>1774</v>
      </c>
      <c r="J38" t="s">
        <v>1779</v>
      </c>
      <c r="K38">
        <v>10</v>
      </c>
      <c r="L38" s="2">
        <v>85</v>
      </c>
      <c r="M38">
        <v>0.1</v>
      </c>
      <c r="N38" s="2">
        <v>55.88</v>
      </c>
      <c r="O38" s="2">
        <v>765</v>
      </c>
      <c r="P38" s="2">
        <v>558.79999999999995</v>
      </c>
      <c r="Q38" s="2">
        <v>206.2</v>
      </c>
      <c r="R38">
        <v>0</v>
      </c>
      <c r="S38" s="2" t="str">
        <f>TEXT(data[[#This Row],[Date]],"mmm yyyy")</f>
        <v>Aug 2025</v>
      </c>
      <c r="T38" s="8">
        <f>data[[#This Row],[Profit]]/data[[#This Row],[Revenue]]</f>
        <v>0.26954248366013073</v>
      </c>
    </row>
    <row r="39" spans="1:20" x14ac:dyDescent="0.3">
      <c r="A39">
        <v>10037</v>
      </c>
      <c r="B39" t="s">
        <v>53</v>
      </c>
      <c r="C39" t="s">
        <v>608</v>
      </c>
      <c r="D39" t="s">
        <v>612</v>
      </c>
      <c r="E39" t="s">
        <v>626</v>
      </c>
      <c r="F39" t="s">
        <v>667</v>
      </c>
      <c r="G39" t="s">
        <v>1761</v>
      </c>
      <c r="H39" t="s">
        <v>1770</v>
      </c>
      <c r="I39" t="s">
        <v>1773</v>
      </c>
      <c r="J39" t="s">
        <v>1776</v>
      </c>
      <c r="K39">
        <v>2</v>
      </c>
      <c r="L39" s="2">
        <v>548</v>
      </c>
      <c r="M39">
        <v>0.2</v>
      </c>
      <c r="N39" s="2">
        <v>359.94</v>
      </c>
      <c r="O39" s="2">
        <v>876.8</v>
      </c>
      <c r="P39" s="2">
        <v>719.88</v>
      </c>
      <c r="Q39" s="2">
        <v>156.91999999999999</v>
      </c>
      <c r="R39">
        <v>0</v>
      </c>
      <c r="S39" s="2" t="str">
        <f>TEXT(data[[#This Row],[Date]],"mmm yyyy")</f>
        <v>Jun 2025</v>
      </c>
      <c r="T39" s="8">
        <f>data[[#This Row],[Profit]]/data[[#This Row],[Revenue]]</f>
        <v>0.17896897810218979</v>
      </c>
    </row>
    <row r="40" spans="1:20" x14ac:dyDescent="0.3">
      <c r="A40">
        <v>10038</v>
      </c>
      <c r="B40" t="s">
        <v>54</v>
      </c>
      <c r="C40" t="s">
        <v>608</v>
      </c>
      <c r="D40" t="s">
        <v>612</v>
      </c>
      <c r="E40" t="s">
        <v>627</v>
      </c>
      <c r="F40" t="s">
        <v>668</v>
      </c>
      <c r="G40" t="s">
        <v>1762</v>
      </c>
      <c r="H40" t="s">
        <v>1768</v>
      </c>
      <c r="I40" t="s">
        <v>1773</v>
      </c>
      <c r="J40" t="s">
        <v>1779</v>
      </c>
      <c r="K40">
        <v>15</v>
      </c>
      <c r="L40" s="2">
        <v>1185</v>
      </c>
      <c r="M40">
        <v>0.2</v>
      </c>
      <c r="N40" s="2">
        <v>607.54</v>
      </c>
      <c r="O40" s="2">
        <v>14220</v>
      </c>
      <c r="P40" s="2">
        <v>9113.1</v>
      </c>
      <c r="Q40" s="2">
        <v>5106.8999999999996</v>
      </c>
      <c r="R40">
        <v>0</v>
      </c>
      <c r="S40" s="2" t="str">
        <f>TEXT(data[[#This Row],[Date]],"mmm yyyy")</f>
        <v>Oct 2025</v>
      </c>
      <c r="T40" s="8">
        <f>data[[#This Row],[Profit]]/data[[#This Row],[Revenue]]</f>
        <v>0.35913502109704637</v>
      </c>
    </row>
    <row r="41" spans="1:20" x14ac:dyDescent="0.3">
      <c r="A41">
        <v>10039</v>
      </c>
      <c r="B41" t="s">
        <v>55</v>
      </c>
      <c r="C41" t="s">
        <v>609</v>
      </c>
      <c r="D41" t="s">
        <v>622</v>
      </c>
      <c r="E41" t="s">
        <v>627</v>
      </c>
      <c r="F41" t="s">
        <v>669</v>
      </c>
      <c r="G41" t="s">
        <v>1759</v>
      </c>
      <c r="H41" t="s">
        <v>1770</v>
      </c>
      <c r="I41" t="s">
        <v>1774</v>
      </c>
      <c r="J41" t="s">
        <v>1779</v>
      </c>
      <c r="K41">
        <v>3</v>
      </c>
      <c r="L41" s="2">
        <v>938</v>
      </c>
      <c r="M41">
        <v>0.15</v>
      </c>
      <c r="N41" s="2">
        <v>528.14</v>
      </c>
      <c r="O41" s="2">
        <v>2391.9</v>
      </c>
      <c r="P41" s="2">
        <v>1584.42</v>
      </c>
      <c r="Q41" s="2">
        <v>807.48</v>
      </c>
      <c r="R41">
        <v>0</v>
      </c>
      <c r="S41" s="2" t="str">
        <f>TEXT(data[[#This Row],[Date]],"mmm yyyy")</f>
        <v>Sep 2024</v>
      </c>
      <c r="T41" s="8">
        <f>data[[#This Row],[Profit]]/data[[#This Row],[Revenue]]</f>
        <v>0.33758936410385049</v>
      </c>
    </row>
    <row r="42" spans="1:20" x14ac:dyDescent="0.3">
      <c r="A42">
        <v>10040</v>
      </c>
      <c r="B42" t="s">
        <v>56</v>
      </c>
      <c r="C42" t="s">
        <v>607</v>
      </c>
      <c r="D42" t="s">
        <v>611</v>
      </c>
      <c r="E42" t="s">
        <v>627</v>
      </c>
      <c r="F42" t="s">
        <v>670</v>
      </c>
      <c r="G42" t="s">
        <v>1762</v>
      </c>
      <c r="H42" t="s">
        <v>1768</v>
      </c>
      <c r="I42" t="s">
        <v>1774</v>
      </c>
      <c r="J42" t="s">
        <v>1778</v>
      </c>
      <c r="K42">
        <v>10</v>
      </c>
      <c r="L42" s="2">
        <v>1290</v>
      </c>
      <c r="M42">
        <v>0</v>
      </c>
      <c r="N42" s="2">
        <v>843.97</v>
      </c>
      <c r="O42" s="2">
        <v>12900</v>
      </c>
      <c r="P42" s="2">
        <v>8439.7000000000007</v>
      </c>
      <c r="Q42" s="2">
        <v>4460.3</v>
      </c>
      <c r="R42">
        <v>0</v>
      </c>
      <c r="S42" s="2" t="str">
        <f>TEXT(data[[#This Row],[Date]],"mmm yyyy")</f>
        <v>Mar 2024</v>
      </c>
      <c r="T42" s="8">
        <f>data[[#This Row],[Profit]]/data[[#This Row],[Revenue]]</f>
        <v>0.34575968992248063</v>
      </c>
    </row>
    <row r="43" spans="1:20" x14ac:dyDescent="0.3">
      <c r="A43">
        <v>10041</v>
      </c>
      <c r="B43" t="s">
        <v>30</v>
      </c>
      <c r="C43" t="s">
        <v>608</v>
      </c>
      <c r="D43" t="s">
        <v>614</v>
      </c>
      <c r="E43" t="s">
        <v>627</v>
      </c>
      <c r="F43" t="s">
        <v>671</v>
      </c>
      <c r="G43" t="s">
        <v>1762</v>
      </c>
      <c r="H43" t="s">
        <v>1767</v>
      </c>
      <c r="I43" t="s">
        <v>1774</v>
      </c>
      <c r="J43" t="s">
        <v>1778</v>
      </c>
      <c r="K43">
        <v>16</v>
      </c>
      <c r="L43" s="2">
        <v>95</v>
      </c>
      <c r="M43">
        <v>0.1</v>
      </c>
      <c r="N43" s="2">
        <v>70.599999999999994</v>
      </c>
      <c r="O43" s="2">
        <v>1368</v>
      </c>
      <c r="P43" s="2">
        <v>1129.5999999999999</v>
      </c>
      <c r="Q43" s="2">
        <v>238.4</v>
      </c>
      <c r="R43">
        <v>0</v>
      </c>
      <c r="S43" s="2" t="str">
        <f>TEXT(data[[#This Row],[Date]],"mmm yyyy")</f>
        <v>Dec 2025</v>
      </c>
      <c r="T43" s="8">
        <f>data[[#This Row],[Profit]]/data[[#This Row],[Revenue]]</f>
        <v>0.17426900584795321</v>
      </c>
    </row>
    <row r="44" spans="1:20" x14ac:dyDescent="0.3">
      <c r="A44">
        <v>10042</v>
      </c>
      <c r="B44" t="s">
        <v>57</v>
      </c>
      <c r="C44" t="s">
        <v>607</v>
      </c>
      <c r="D44" t="s">
        <v>611</v>
      </c>
      <c r="E44" t="s">
        <v>626</v>
      </c>
      <c r="F44" t="s">
        <v>672</v>
      </c>
      <c r="G44" t="s">
        <v>1764</v>
      </c>
      <c r="H44" t="s">
        <v>1767</v>
      </c>
      <c r="I44" t="s">
        <v>1773</v>
      </c>
      <c r="J44" t="s">
        <v>1779</v>
      </c>
      <c r="K44">
        <v>4</v>
      </c>
      <c r="L44" s="2">
        <v>276</v>
      </c>
      <c r="M44">
        <v>0.2</v>
      </c>
      <c r="N44" s="2">
        <v>151.75</v>
      </c>
      <c r="O44" s="2">
        <v>883.2</v>
      </c>
      <c r="P44" s="2">
        <v>607</v>
      </c>
      <c r="Q44" s="2">
        <v>276.2</v>
      </c>
      <c r="R44">
        <v>0</v>
      </c>
      <c r="S44" s="2" t="str">
        <f>TEXT(data[[#This Row],[Date]],"mmm yyyy")</f>
        <v>Apr 2025</v>
      </c>
      <c r="T44" s="8">
        <f>data[[#This Row],[Profit]]/data[[#This Row],[Revenue]]</f>
        <v>0.31272644927536231</v>
      </c>
    </row>
    <row r="45" spans="1:20" x14ac:dyDescent="0.3">
      <c r="A45">
        <v>10043</v>
      </c>
      <c r="B45" t="s">
        <v>58</v>
      </c>
      <c r="C45" t="s">
        <v>606</v>
      </c>
      <c r="D45" t="s">
        <v>616</v>
      </c>
      <c r="E45" t="s">
        <v>627</v>
      </c>
      <c r="F45" t="s">
        <v>673</v>
      </c>
      <c r="G45" t="s">
        <v>1762</v>
      </c>
      <c r="H45" t="s">
        <v>1771</v>
      </c>
      <c r="I45" t="s">
        <v>1773</v>
      </c>
      <c r="J45" t="s">
        <v>1778</v>
      </c>
      <c r="K45">
        <v>3</v>
      </c>
      <c r="L45" s="2">
        <v>407</v>
      </c>
      <c r="M45">
        <v>0.2</v>
      </c>
      <c r="N45" s="2">
        <v>212.69</v>
      </c>
      <c r="O45" s="2">
        <v>976.8</v>
      </c>
      <c r="P45" s="2">
        <v>638.07000000000005</v>
      </c>
      <c r="Q45" s="2">
        <v>338.73</v>
      </c>
      <c r="R45">
        <v>0</v>
      </c>
      <c r="S45" s="2" t="str">
        <f>TEXT(data[[#This Row],[Date]],"mmm yyyy")</f>
        <v>Jan 2025</v>
      </c>
      <c r="T45" s="8">
        <f>data[[#This Row],[Profit]]/data[[#This Row],[Revenue]]</f>
        <v>0.34677518427518433</v>
      </c>
    </row>
    <row r="46" spans="1:20" x14ac:dyDescent="0.3">
      <c r="A46">
        <v>10044</v>
      </c>
      <c r="B46" t="s">
        <v>59</v>
      </c>
      <c r="C46" t="s">
        <v>608</v>
      </c>
      <c r="D46" t="s">
        <v>615</v>
      </c>
      <c r="E46" t="s">
        <v>628</v>
      </c>
      <c r="F46" t="s">
        <v>674</v>
      </c>
      <c r="G46" t="s">
        <v>1762</v>
      </c>
      <c r="H46" t="s">
        <v>1767</v>
      </c>
      <c r="I46" t="s">
        <v>1774</v>
      </c>
      <c r="J46" t="s">
        <v>1777</v>
      </c>
      <c r="K46">
        <v>1</v>
      </c>
      <c r="L46" s="2">
        <v>180</v>
      </c>
      <c r="M46">
        <v>0.05</v>
      </c>
      <c r="N46" s="2">
        <v>90.16</v>
      </c>
      <c r="O46" s="2">
        <v>171</v>
      </c>
      <c r="P46" s="2">
        <v>90.16</v>
      </c>
      <c r="Q46" s="2">
        <v>80.84</v>
      </c>
      <c r="R46">
        <v>1</v>
      </c>
      <c r="S46" s="2" t="str">
        <f>TEXT(data[[#This Row],[Date]],"mmm yyyy")</f>
        <v>Nov 2025</v>
      </c>
      <c r="T46" s="8">
        <f>data[[#This Row],[Profit]]/data[[#This Row],[Revenue]]</f>
        <v>0.47274853801169592</v>
      </c>
    </row>
    <row r="47" spans="1:20" x14ac:dyDescent="0.3">
      <c r="A47">
        <v>10045</v>
      </c>
      <c r="B47" t="s">
        <v>25</v>
      </c>
      <c r="C47" t="s">
        <v>607</v>
      </c>
      <c r="D47" t="s">
        <v>617</v>
      </c>
      <c r="E47" t="s">
        <v>626</v>
      </c>
      <c r="F47" t="s">
        <v>675</v>
      </c>
      <c r="G47" t="s">
        <v>1760</v>
      </c>
      <c r="H47" t="s">
        <v>1767</v>
      </c>
      <c r="I47" t="s">
        <v>1774</v>
      </c>
      <c r="J47" t="s">
        <v>1778</v>
      </c>
      <c r="K47">
        <v>4</v>
      </c>
      <c r="L47" s="2">
        <v>160</v>
      </c>
      <c r="M47">
        <v>0.1</v>
      </c>
      <c r="N47" s="2">
        <v>80.069999999999993</v>
      </c>
      <c r="O47" s="2">
        <v>576</v>
      </c>
      <c r="P47" s="2">
        <v>320.27999999999997</v>
      </c>
      <c r="Q47" s="2">
        <v>255.72</v>
      </c>
      <c r="R47">
        <v>0</v>
      </c>
      <c r="S47" s="2" t="str">
        <f>TEXT(data[[#This Row],[Date]],"mmm yyyy")</f>
        <v>Feb 2025</v>
      </c>
      <c r="T47" s="8">
        <f>data[[#This Row],[Profit]]/data[[#This Row],[Revenue]]</f>
        <v>0.44395833333333334</v>
      </c>
    </row>
    <row r="48" spans="1:20" x14ac:dyDescent="0.3">
      <c r="A48">
        <v>10046</v>
      </c>
      <c r="B48" t="s">
        <v>60</v>
      </c>
      <c r="C48" t="s">
        <v>606</v>
      </c>
      <c r="D48" t="s">
        <v>625</v>
      </c>
      <c r="E48" t="s">
        <v>626</v>
      </c>
      <c r="F48" t="s">
        <v>676</v>
      </c>
      <c r="G48" t="s">
        <v>1761</v>
      </c>
      <c r="H48" t="s">
        <v>1768</v>
      </c>
      <c r="I48" t="s">
        <v>1773</v>
      </c>
      <c r="J48" t="s">
        <v>1778</v>
      </c>
      <c r="K48">
        <v>13</v>
      </c>
      <c r="L48" s="2">
        <v>1202</v>
      </c>
      <c r="M48">
        <v>0.2</v>
      </c>
      <c r="N48" s="2">
        <v>623.96</v>
      </c>
      <c r="O48" s="2">
        <v>12500.8</v>
      </c>
      <c r="P48" s="2">
        <v>8111.48</v>
      </c>
      <c r="Q48" s="2">
        <v>4389.32</v>
      </c>
      <c r="R48">
        <v>1</v>
      </c>
      <c r="S48" s="2" t="str">
        <f>TEXT(data[[#This Row],[Date]],"mmm yyyy")</f>
        <v>Oct 2024</v>
      </c>
      <c r="T48" s="8">
        <f>data[[#This Row],[Profit]]/data[[#This Row],[Revenue]]</f>
        <v>0.35112312811980034</v>
      </c>
    </row>
    <row r="49" spans="1:20" x14ac:dyDescent="0.3">
      <c r="A49">
        <v>10047</v>
      </c>
      <c r="B49" t="s">
        <v>61</v>
      </c>
      <c r="C49" t="s">
        <v>608</v>
      </c>
      <c r="D49" t="s">
        <v>618</v>
      </c>
      <c r="E49" t="s">
        <v>626</v>
      </c>
      <c r="F49" t="s">
        <v>677</v>
      </c>
      <c r="G49" t="s">
        <v>1759</v>
      </c>
      <c r="H49" t="s">
        <v>1772</v>
      </c>
      <c r="I49" t="s">
        <v>1774</v>
      </c>
      <c r="J49" t="s">
        <v>1776</v>
      </c>
      <c r="K49">
        <v>17</v>
      </c>
      <c r="L49" s="2">
        <v>946</v>
      </c>
      <c r="M49">
        <v>0.1</v>
      </c>
      <c r="N49" s="2">
        <v>517.9</v>
      </c>
      <c r="O49" s="2">
        <v>14473.8</v>
      </c>
      <c r="P49" s="2">
        <v>8804.2999999999993</v>
      </c>
      <c r="Q49" s="2">
        <v>5669.5</v>
      </c>
      <c r="R49">
        <v>0</v>
      </c>
      <c r="S49" s="2" t="str">
        <f>TEXT(data[[#This Row],[Date]],"mmm yyyy")</f>
        <v>Mar 2025</v>
      </c>
      <c r="T49" s="8">
        <f>data[[#This Row],[Profit]]/data[[#This Row],[Revenue]]</f>
        <v>0.39170777542870566</v>
      </c>
    </row>
    <row r="50" spans="1:20" x14ac:dyDescent="0.3">
      <c r="A50">
        <v>10048</v>
      </c>
      <c r="B50" t="s">
        <v>62</v>
      </c>
      <c r="C50" t="s">
        <v>609</v>
      </c>
      <c r="D50" t="s">
        <v>619</v>
      </c>
      <c r="E50" t="s">
        <v>628</v>
      </c>
      <c r="F50" t="s">
        <v>678</v>
      </c>
      <c r="G50" t="s">
        <v>1766</v>
      </c>
      <c r="H50" t="s">
        <v>1767</v>
      </c>
      <c r="I50" t="s">
        <v>1775</v>
      </c>
      <c r="J50" t="s">
        <v>1778</v>
      </c>
      <c r="K50">
        <v>5</v>
      </c>
      <c r="L50" s="2">
        <v>237</v>
      </c>
      <c r="M50">
        <v>0.1</v>
      </c>
      <c r="N50" s="2">
        <v>147.27000000000001</v>
      </c>
      <c r="O50" s="2">
        <v>1066.5</v>
      </c>
      <c r="P50" s="2">
        <v>736.35</v>
      </c>
      <c r="Q50" s="2">
        <v>330.15</v>
      </c>
      <c r="R50">
        <v>0</v>
      </c>
      <c r="S50" s="2" t="str">
        <f>TEXT(data[[#This Row],[Date]],"mmm yyyy")</f>
        <v>Jun 2024</v>
      </c>
      <c r="T50" s="8">
        <f>data[[#This Row],[Profit]]/data[[#This Row],[Revenue]]</f>
        <v>0.30956399437412091</v>
      </c>
    </row>
    <row r="51" spans="1:20" x14ac:dyDescent="0.3">
      <c r="A51">
        <v>10049</v>
      </c>
      <c r="B51" t="s">
        <v>63</v>
      </c>
      <c r="C51" t="s">
        <v>606</v>
      </c>
      <c r="D51" t="s">
        <v>625</v>
      </c>
      <c r="E51" t="s">
        <v>627</v>
      </c>
      <c r="F51" t="s">
        <v>679</v>
      </c>
      <c r="G51" t="s">
        <v>1761</v>
      </c>
      <c r="H51" t="s">
        <v>1767</v>
      </c>
      <c r="I51" t="s">
        <v>1773</v>
      </c>
      <c r="J51" t="s">
        <v>1779</v>
      </c>
      <c r="K51">
        <v>8</v>
      </c>
      <c r="L51" s="2">
        <v>247</v>
      </c>
      <c r="M51">
        <v>0.1</v>
      </c>
      <c r="N51" s="2">
        <v>153.34</v>
      </c>
      <c r="O51" s="2">
        <v>1778.4</v>
      </c>
      <c r="P51" s="2">
        <v>1226.72</v>
      </c>
      <c r="Q51" s="2">
        <v>551.67999999999995</v>
      </c>
      <c r="R51">
        <v>1</v>
      </c>
      <c r="S51" s="2" t="str">
        <f>TEXT(data[[#This Row],[Date]],"mmm yyyy")</f>
        <v>May 2024</v>
      </c>
      <c r="T51" s="8">
        <f>data[[#This Row],[Profit]]/data[[#This Row],[Revenue]]</f>
        <v>0.31021142600089963</v>
      </c>
    </row>
    <row r="52" spans="1:20" x14ac:dyDescent="0.3">
      <c r="A52">
        <v>10050</v>
      </c>
      <c r="B52" t="s">
        <v>64</v>
      </c>
      <c r="C52" t="s">
        <v>608</v>
      </c>
      <c r="D52" t="s">
        <v>615</v>
      </c>
      <c r="E52" t="s">
        <v>627</v>
      </c>
      <c r="F52" t="s">
        <v>680</v>
      </c>
      <c r="G52" t="s">
        <v>1761</v>
      </c>
      <c r="H52" t="s">
        <v>1772</v>
      </c>
      <c r="I52" t="s">
        <v>1775</v>
      </c>
      <c r="J52" t="s">
        <v>1777</v>
      </c>
      <c r="K52">
        <v>14</v>
      </c>
      <c r="L52" s="2">
        <v>960</v>
      </c>
      <c r="M52">
        <v>0.05</v>
      </c>
      <c r="N52" s="2">
        <v>611.47</v>
      </c>
      <c r="O52" s="2">
        <v>12768</v>
      </c>
      <c r="P52" s="2">
        <v>8560.58</v>
      </c>
      <c r="Q52" s="2">
        <v>4207.42</v>
      </c>
      <c r="R52">
        <v>0</v>
      </c>
      <c r="S52" s="2" t="str">
        <f>TEXT(data[[#This Row],[Date]],"mmm yyyy")</f>
        <v>Apr 2024</v>
      </c>
      <c r="T52" s="8">
        <f>data[[#This Row],[Profit]]/data[[#This Row],[Revenue]]</f>
        <v>0.32952850877192985</v>
      </c>
    </row>
    <row r="53" spans="1:20" x14ac:dyDescent="0.3">
      <c r="A53">
        <v>10051</v>
      </c>
      <c r="B53" t="s">
        <v>65</v>
      </c>
      <c r="C53" t="s">
        <v>606</v>
      </c>
      <c r="D53" t="s">
        <v>625</v>
      </c>
      <c r="E53" t="s">
        <v>629</v>
      </c>
      <c r="F53" t="s">
        <v>681</v>
      </c>
      <c r="G53" t="s">
        <v>1760</v>
      </c>
      <c r="H53" t="s">
        <v>1769</v>
      </c>
      <c r="I53" t="s">
        <v>1775</v>
      </c>
      <c r="J53" t="s">
        <v>1778</v>
      </c>
      <c r="K53">
        <v>1</v>
      </c>
      <c r="L53" s="2">
        <v>253</v>
      </c>
      <c r="M53">
        <v>0.15</v>
      </c>
      <c r="N53" s="2">
        <v>150.71</v>
      </c>
      <c r="O53" s="2">
        <v>215.05</v>
      </c>
      <c r="P53" s="2">
        <v>150.71</v>
      </c>
      <c r="Q53" s="2">
        <v>64.34</v>
      </c>
      <c r="R53">
        <v>0</v>
      </c>
      <c r="S53" s="2" t="str">
        <f>TEXT(data[[#This Row],[Date]],"mmm yyyy")</f>
        <v>Jan 2025</v>
      </c>
      <c r="T53" s="8">
        <f>data[[#This Row],[Profit]]/data[[#This Row],[Revenue]]</f>
        <v>0.29918623575912578</v>
      </c>
    </row>
    <row r="54" spans="1:20" x14ac:dyDescent="0.3">
      <c r="A54">
        <v>10052</v>
      </c>
      <c r="B54" t="s">
        <v>66</v>
      </c>
      <c r="C54" t="s">
        <v>606</v>
      </c>
      <c r="D54" t="s">
        <v>610</v>
      </c>
      <c r="E54" t="s">
        <v>628</v>
      </c>
      <c r="F54" t="s">
        <v>682</v>
      </c>
      <c r="G54" t="s">
        <v>1763</v>
      </c>
      <c r="H54" t="s">
        <v>1770</v>
      </c>
      <c r="I54" t="s">
        <v>1775</v>
      </c>
      <c r="J54" t="s">
        <v>1776</v>
      </c>
      <c r="K54">
        <v>17</v>
      </c>
      <c r="L54" s="2">
        <v>915</v>
      </c>
      <c r="M54">
        <v>0.05</v>
      </c>
      <c r="N54" s="2">
        <v>478.68</v>
      </c>
      <c r="O54" s="2">
        <v>14777.25</v>
      </c>
      <c r="P54" s="2">
        <v>8137.56</v>
      </c>
      <c r="Q54" s="2">
        <v>6639.69</v>
      </c>
      <c r="R54">
        <v>0</v>
      </c>
      <c r="S54" s="2" t="str">
        <f>TEXT(data[[#This Row],[Date]],"mmm yyyy")</f>
        <v>Jan 2025</v>
      </c>
      <c r="T54" s="8">
        <f>data[[#This Row],[Profit]]/data[[#This Row],[Revenue]]</f>
        <v>0.44931837791199308</v>
      </c>
    </row>
    <row r="55" spans="1:20" x14ac:dyDescent="0.3">
      <c r="A55">
        <v>10053</v>
      </c>
      <c r="B55" t="s">
        <v>67</v>
      </c>
      <c r="C55" t="s">
        <v>608</v>
      </c>
      <c r="D55" t="s">
        <v>614</v>
      </c>
      <c r="E55" t="s">
        <v>628</v>
      </c>
      <c r="F55" t="s">
        <v>683</v>
      </c>
      <c r="G55" t="s">
        <v>1759</v>
      </c>
      <c r="H55" t="s">
        <v>1767</v>
      </c>
      <c r="I55" t="s">
        <v>1773</v>
      </c>
      <c r="J55" t="s">
        <v>1777</v>
      </c>
      <c r="K55">
        <v>16</v>
      </c>
      <c r="L55" s="2">
        <v>261</v>
      </c>
      <c r="M55">
        <v>0.2</v>
      </c>
      <c r="N55" s="2">
        <v>162.46</v>
      </c>
      <c r="O55" s="2">
        <v>3340.8</v>
      </c>
      <c r="P55" s="2">
        <v>2599.36</v>
      </c>
      <c r="Q55" s="2">
        <v>741.44</v>
      </c>
      <c r="R55">
        <v>0</v>
      </c>
      <c r="S55" s="2" t="str">
        <f>TEXT(data[[#This Row],[Date]],"mmm yyyy")</f>
        <v>Feb 2025</v>
      </c>
      <c r="T55" s="8">
        <f>data[[#This Row],[Profit]]/data[[#This Row],[Revenue]]</f>
        <v>0.22193486590038314</v>
      </c>
    </row>
    <row r="56" spans="1:20" x14ac:dyDescent="0.3">
      <c r="A56">
        <v>10054</v>
      </c>
      <c r="B56" t="s">
        <v>68</v>
      </c>
      <c r="C56" t="s">
        <v>608</v>
      </c>
      <c r="D56" t="s">
        <v>618</v>
      </c>
      <c r="E56" t="s">
        <v>627</v>
      </c>
      <c r="F56" t="s">
        <v>684</v>
      </c>
      <c r="G56" t="s">
        <v>1760</v>
      </c>
      <c r="H56" t="s">
        <v>1769</v>
      </c>
      <c r="I56" t="s">
        <v>1774</v>
      </c>
      <c r="J56" t="s">
        <v>1778</v>
      </c>
      <c r="K56">
        <v>4</v>
      </c>
      <c r="L56" s="2">
        <v>499</v>
      </c>
      <c r="M56">
        <v>0.15</v>
      </c>
      <c r="N56" s="2">
        <v>260.10000000000002</v>
      </c>
      <c r="O56" s="2">
        <v>1696.6</v>
      </c>
      <c r="P56" s="2">
        <v>1040.4000000000001</v>
      </c>
      <c r="Q56" s="2">
        <v>656.2</v>
      </c>
      <c r="R56">
        <v>0</v>
      </c>
      <c r="S56" s="2" t="str">
        <f>TEXT(data[[#This Row],[Date]],"mmm yyyy")</f>
        <v>Jan 2024</v>
      </c>
      <c r="T56" s="8">
        <f>data[[#This Row],[Profit]]/data[[#This Row],[Revenue]]</f>
        <v>0.38677354709418843</v>
      </c>
    </row>
    <row r="57" spans="1:20" x14ac:dyDescent="0.3">
      <c r="A57">
        <v>10055</v>
      </c>
      <c r="B57" t="s">
        <v>69</v>
      </c>
      <c r="C57" t="s">
        <v>608</v>
      </c>
      <c r="D57" t="s">
        <v>612</v>
      </c>
      <c r="E57" t="s">
        <v>627</v>
      </c>
      <c r="F57" t="s">
        <v>685</v>
      </c>
      <c r="G57" t="s">
        <v>1762</v>
      </c>
      <c r="H57" t="s">
        <v>1769</v>
      </c>
      <c r="I57" t="s">
        <v>1773</v>
      </c>
      <c r="J57" t="s">
        <v>1776</v>
      </c>
      <c r="K57">
        <v>14</v>
      </c>
      <c r="L57" s="2">
        <v>475</v>
      </c>
      <c r="M57">
        <v>0</v>
      </c>
      <c r="N57" s="2">
        <v>249.31</v>
      </c>
      <c r="O57" s="2">
        <v>6650</v>
      </c>
      <c r="P57" s="2">
        <v>3490.34</v>
      </c>
      <c r="Q57" s="2">
        <v>3159.66</v>
      </c>
      <c r="R57">
        <v>0</v>
      </c>
      <c r="S57" s="2" t="str">
        <f>TEXT(data[[#This Row],[Date]],"mmm yyyy")</f>
        <v>Jun 2025</v>
      </c>
      <c r="T57" s="8">
        <f>data[[#This Row],[Profit]]/data[[#This Row],[Revenue]]</f>
        <v>0.47513684210526314</v>
      </c>
    </row>
    <row r="58" spans="1:20" x14ac:dyDescent="0.3">
      <c r="A58">
        <v>10056</v>
      </c>
      <c r="B58" t="s">
        <v>70</v>
      </c>
      <c r="C58" t="s">
        <v>609</v>
      </c>
      <c r="D58" t="s">
        <v>623</v>
      </c>
      <c r="E58" t="s">
        <v>627</v>
      </c>
      <c r="F58" t="s">
        <v>686</v>
      </c>
      <c r="G58" t="s">
        <v>1763</v>
      </c>
      <c r="H58" t="s">
        <v>1767</v>
      </c>
      <c r="I58" t="s">
        <v>1774</v>
      </c>
      <c r="J58" t="s">
        <v>1778</v>
      </c>
      <c r="K58">
        <v>11</v>
      </c>
      <c r="L58" s="2">
        <v>151</v>
      </c>
      <c r="M58">
        <v>0.05</v>
      </c>
      <c r="N58" s="2">
        <v>93.44</v>
      </c>
      <c r="O58" s="2">
        <v>1577.95</v>
      </c>
      <c r="P58" s="2">
        <v>1027.8399999999999</v>
      </c>
      <c r="Q58" s="2">
        <v>550.11</v>
      </c>
      <c r="R58">
        <v>0</v>
      </c>
      <c r="S58" s="2" t="str">
        <f>TEXT(data[[#This Row],[Date]],"mmm yyyy")</f>
        <v>Jul 2025</v>
      </c>
      <c r="T58" s="8">
        <f>data[[#This Row],[Profit]]/data[[#This Row],[Revenue]]</f>
        <v>0.34862321366329729</v>
      </c>
    </row>
    <row r="59" spans="1:20" x14ac:dyDescent="0.3">
      <c r="A59">
        <v>10057</v>
      </c>
      <c r="B59" t="s">
        <v>71</v>
      </c>
      <c r="C59" t="s">
        <v>609</v>
      </c>
      <c r="D59" t="s">
        <v>622</v>
      </c>
      <c r="E59" t="s">
        <v>627</v>
      </c>
      <c r="F59" t="s">
        <v>687</v>
      </c>
      <c r="G59" t="s">
        <v>1760</v>
      </c>
      <c r="H59" t="s">
        <v>1771</v>
      </c>
      <c r="I59" t="s">
        <v>1774</v>
      </c>
      <c r="J59" t="s">
        <v>1778</v>
      </c>
      <c r="K59">
        <v>14</v>
      </c>
      <c r="L59" s="2">
        <v>555</v>
      </c>
      <c r="M59">
        <v>0</v>
      </c>
      <c r="N59" s="2">
        <v>313.19</v>
      </c>
      <c r="O59" s="2">
        <v>7770</v>
      </c>
      <c r="P59" s="2">
        <v>4384.66</v>
      </c>
      <c r="Q59" s="2">
        <v>3385.34</v>
      </c>
      <c r="R59">
        <v>1</v>
      </c>
      <c r="S59" s="2" t="str">
        <f>TEXT(data[[#This Row],[Date]],"mmm yyyy")</f>
        <v>Jan 2025</v>
      </c>
      <c r="T59" s="8">
        <f>data[[#This Row],[Profit]]/data[[#This Row],[Revenue]]</f>
        <v>0.43569369369369371</v>
      </c>
    </row>
    <row r="60" spans="1:20" x14ac:dyDescent="0.3">
      <c r="A60">
        <v>10058</v>
      </c>
      <c r="B60" t="s">
        <v>72</v>
      </c>
      <c r="C60" t="s">
        <v>607</v>
      </c>
      <c r="D60" t="s">
        <v>617</v>
      </c>
      <c r="E60" t="s">
        <v>628</v>
      </c>
      <c r="F60" t="s">
        <v>688</v>
      </c>
      <c r="G60" t="s">
        <v>1762</v>
      </c>
      <c r="H60" t="s">
        <v>1770</v>
      </c>
      <c r="I60" t="s">
        <v>1773</v>
      </c>
      <c r="J60" t="s">
        <v>1777</v>
      </c>
      <c r="K60">
        <v>7</v>
      </c>
      <c r="L60" s="2">
        <v>805</v>
      </c>
      <c r="M60">
        <v>0</v>
      </c>
      <c r="N60" s="2">
        <v>562.91</v>
      </c>
      <c r="O60" s="2">
        <v>5635</v>
      </c>
      <c r="P60" s="2">
        <v>3940.37</v>
      </c>
      <c r="Q60" s="2">
        <v>1694.63</v>
      </c>
      <c r="R60">
        <v>0</v>
      </c>
      <c r="S60" s="2" t="str">
        <f>TEXT(data[[#This Row],[Date]],"mmm yyyy")</f>
        <v>Jul 2024</v>
      </c>
      <c r="T60" s="8">
        <f>data[[#This Row],[Profit]]/data[[#This Row],[Revenue]]</f>
        <v>0.30073291925465839</v>
      </c>
    </row>
    <row r="61" spans="1:20" x14ac:dyDescent="0.3">
      <c r="A61">
        <v>10059</v>
      </c>
      <c r="B61" t="s">
        <v>19</v>
      </c>
      <c r="C61" t="s">
        <v>607</v>
      </c>
      <c r="D61" t="s">
        <v>621</v>
      </c>
      <c r="E61" t="s">
        <v>628</v>
      </c>
      <c r="F61" t="s">
        <v>689</v>
      </c>
      <c r="G61" t="s">
        <v>1760</v>
      </c>
      <c r="H61" t="s">
        <v>1772</v>
      </c>
      <c r="I61" t="s">
        <v>1774</v>
      </c>
      <c r="J61" t="s">
        <v>1777</v>
      </c>
      <c r="K61">
        <v>4</v>
      </c>
      <c r="L61" s="2">
        <v>802</v>
      </c>
      <c r="M61">
        <v>0.2</v>
      </c>
      <c r="N61" s="2">
        <v>500.4</v>
      </c>
      <c r="O61" s="2">
        <v>2566.4</v>
      </c>
      <c r="P61" s="2">
        <v>2001.6</v>
      </c>
      <c r="Q61" s="2">
        <v>564.79999999999995</v>
      </c>
      <c r="R61">
        <v>0</v>
      </c>
      <c r="S61" s="2" t="str">
        <f>TEXT(data[[#This Row],[Date]],"mmm yyyy")</f>
        <v>Aug 2024</v>
      </c>
      <c r="T61" s="8">
        <f>data[[#This Row],[Profit]]/data[[#This Row],[Revenue]]</f>
        <v>0.22007481296758102</v>
      </c>
    </row>
    <row r="62" spans="1:20" x14ac:dyDescent="0.3">
      <c r="A62">
        <v>10060</v>
      </c>
      <c r="B62" t="s">
        <v>73</v>
      </c>
      <c r="C62" t="s">
        <v>607</v>
      </c>
      <c r="D62" t="s">
        <v>624</v>
      </c>
      <c r="E62" t="s">
        <v>628</v>
      </c>
      <c r="F62" t="s">
        <v>690</v>
      </c>
      <c r="G62" t="s">
        <v>1766</v>
      </c>
      <c r="H62" t="s">
        <v>1771</v>
      </c>
      <c r="I62" t="s">
        <v>1774</v>
      </c>
      <c r="J62" t="s">
        <v>1776</v>
      </c>
      <c r="K62">
        <v>20</v>
      </c>
      <c r="L62" s="2">
        <v>312</v>
      </c>
      <c r="M62">
        <v>0.05</v>
      </c>
      <c r="N62" s="2">
        <v>188.4</v>
      </c>
      <c r="O62" s="2">
        <v>5928</v>
      </c>
      <c r="P62" s="2">
        <v>3768</v>
      </c>
      <c r="Q62" s="2">
        <v>2160</v>
      </c>
      <c r="R62">
        <v>0</v>
      </c>
      <c r="S62" s="2" t="str">
        <f>TEXT(data[[#This Row],[Date]],"mmm yyyy")</f>
        <v>Jul 2024</v>
      </c>
      <c r="T62" s="8">
        <f>data[[#This Row],[Profit]]/data[[#This Row],[Revenue]]</f>
        <v>0.36437246963562753</v>
      </c>
    </row>
    <row r="63" spans="1:20" x14ac:dyDescent="0.3">
      <c r="A63">
        <v>10061</v>
      </c>
      <c r="B63" t="s">
        <v>74</v>
      </c>
      <c r="C63" t="s">
        <v>609</v>
      </c>
      <c r="D63" t="s">
        <v>613</v>
      </c>
      <c r="E63" t="s">
        <v>628</v>
      </c>
      <c r="F63" t="s">
        <v>691</v>
      </c>
      <c r="G63" t="s">
        <v>1766</v>
      </c>
      <c r="H63" t="s">
        <v>1772</v>
      </c>
      <c r="I63" t="s">
        <v>1775</v>
      </c>
      <c r="J63" t="s">
        <v>1777</v>
      </c>
      <c r="K63">
        <v>6</v>
      </c>
      <c r="L63" s="2">
        <v>695</v>
      </c>
      <c r="M63">
        <v>0.2</v>
      </c>
      <c r="N63" s="2">
        <v>477.17</v>
      </c>
      <c r="O63" s="2">
        <v>3336</v>
      </c>
      <c r="P63" s="2">
        <v>2863.02</v>
      </c>
      <c r="Q63" s="2">
        <v>472.98</v>
      </c>
      <c r="R63">
        <v>0</v>
      </c>
      <c r="S63" s="2" t="str">
        <f>TEXT(data[[#This Row],[Date]],"mmm yyyy")</f>
        <v>Nov 2024</v>
      </c>
      <c r="T63" s="8">
        <f>data[[#This Row],[Profit]]/data[[#This Row],[Revenue]]</f>
        <v>0.14178057553956835</v>
      </c>
    </row>
    <row r="64" spans="1:20" x14ac:dyDescent="0.3">
      <c r="A64">
        <v>10062</v>
      </c>
      <c r="B64" t="s">
        <v>75</v>
      </c>
      <c r="C64" t="s">
        <v>609</v>
      </c>
      <c r="D64" t="s">
        <v>622</v>
      </c>
      <c r="E64" t="s">
        <v>627</v>
      </c>
      <c r="F64" t="s">
        <v>692</v>
      </c>
      <c r="G64" t="s">
        <v>1766</v>
      </c>
      <c r="H64" t="s">
        <v>1768</v>
      </c>
      <c r="I64" t="s">
        <v>1775</v>
      </c>
      <c r="J64" t="s">
        <v>1779</v>
      </c>
      <c r="K64">
        <v>3</v>
      </c>
      <c r="L64" s="2">
        <v>1086</v>
      </c>
      <c r="M64">
        <v>0.1</v>
      </c>
      <c r="N64" s="2">
        <v>657.08</v>
      </c>
      <c r="O64" s="2">
        <v>2932.2</v>
      </c>
      <c r="P64" s="2">
        <v>1971.24</v>
      </c>
      <c r="Q64" s="2">
        <v>960.96</v>
      </c>
      <c r="R64">
        <v>0</v>
      </c>
      <c r="S64" s="2" t="str">
        <f>TEXT(data[[#This Row],[Date]],"mmm yyyy")</f>
        <v>Jul 2025</v>
      </c>
      <c r="T64" s="8">
        <f>data[[#This Row],[Profit]]/data[[#This Row],[Revenue]]</f>
        <v>0.32772662164927363</v>
      </c>
    </row>
    <row r="65" spans="1:20" x14ac:dyDescent="0.3">
      <c r="A65">
        <v>10063</v>
      </c>
      <c r="B65" t="s">
        <v>76</v>
      </c>
      <c r="C65" t="s">
        <v>609</v>
      </c>
      <c r="D65" t="s">
        <v>622</v>
      </c>
      <c r="E65" t="s">
        <v>629</v>
      </c>
      <c r="F65" t="s">
        <v>693</v>
      </c>
      <c r="G65" t="s">
        <v>1764</v>
      </c>
      <c r="H65" t="s">
        <v>1770</v>
      </c>
      <c r="I65" t="s">
        <v>1773</v>
      </c>
      <c r="J65" t="s">
        <v>1779</v>
      </c>
      <c r="K65">
        <v>7</v>
      </c>
      <c r="L65" s="2">
        <v>884</v>
      </c>
      <c r="M65">
        <v>0.1</v>
      </c>
      <c r="N65" s="2">
        <v>561.67999999999995</v>
      </c>
      <c r="O65" s="2">
        <v>5569.2</v>
      </c>
      <c r="P65" s="2">
        <v>3931.76</v>
      </c>
      <c r="Q65" s="2">
        <v>1637.44</v>
      </c>
      <c r="R65">
        <v>1</v>
      </c>
      <c r="S65" s="2" t="str">
        <f>TEXT(data[[#This Row],[Date]],"mmm yyyy")</f>
        <v>Jul 2024</v>
      </c>
      <c r="T65" s="8">
        <f>data[[#This Row],[Profit]]/data[[#This Row],[Revenue]]</f>
        <v>0.29401709401709403</v>
      </c>
    </row>
    <row r="66" spans="1:20" x14ac:dyDescent="0.3">
      <c r="A66">
        <v>10064</v>
      </c>
      <c r="B66" t="s">
        <v>77</v>
      </c>
      <c r="C66" t="s">
        <v>608</v>
      </c>
      <c r="D66" t="s">
        <v>615</v>
      </c>
      <c r="E66" t="s">
        <v>627</v>
      </c>
      <c r="F66" t="s">
        <v>694</v>
      </c>
      <c r="G66" t="s">
        <v>1766</v>
      </c>
      <c r="H66" t="s">
        <v>1768</v>
      </c>
      <c r="I66" t="s">
        <v>1775</v>
      </c>
      <c r="J66" t="s">
        <v>1778</v>
      </c>
      <c r="K66">
        <v>2</v>
      </c>
      <c r="L66" s="2">
        <v>1184</v>
      </c>
      <c r="M66">
        <v>0.15</v>
      </c>
      <c r="N66" s="2">
        <v>610.52</v>
      </c>
      <c r="O66" s="2">
        <v>2012.8</v>
      </c>
      <c r="P66" s="2">
        <v>1221.04</v>
      </c>
      <c r="Q66" s="2">
        <v>791.76</v>
      </c>
      <c r="R66">
        <v>0</v>
      </c>
      <c r="S66" s="2" t="str">
        <f>TEXT(data[[#This Row],[Date]],"mmm yyyy")</f>
        <v>Sep 2024</v>
      </c>
      <c r="T66" s="8">
        <f>data[[#This Row],[Profit]]/data[[#This Row],[Revenue]]</f>
        <v>0.393362480127186</v>
      </c>
    </row>
    <row r="67" spans="1:20" x14ac:dyDescent="0.3">
      <c r="A67">
        <v>10065</v>
      </c>
      <c r="B67" t="s">
        <v>78</v>
      </c>
      <c r="C67" t="s">
        <v>606</v>
      </c>
      <c r="D67" t="s">
        <v>620</v>
      </c>
      <c r="E67" t="s">
        <v>627</v>
      </c>
      <c r="F67" t="s">
        <v>695</v>
      </c>
      <c r="G67" t="s">
        <v>1764</v>
      </c>
      <c r="H67" t="s">
        <v>1772</v>
      </c>
      <c r="I67" t="s">
        <v>1774</v>
      </c>
      <c r="J67" t="s">
        <v>1779</v>
      </c>
      <c r="K67">
        <v>9</v>
      </c>
      <c r="L67" s="2">
        <v>824</v>
      </c>
      <c r="M67">
        <v>0.1</v>
      </c>
      <c r="N67" s="2">
        <v>412.78</v>
      </c>
      <c r="O67" s="2">
        <v>6674.4</v>
      </c>
      <c r="P67" s="2">
        <v>3715.02</v>
      </c>
      <c r="Q67" s="2">
        <v>2959.38</v>
      </c>
      <c r="R67">
        <v>0</v>
      </c>
      <c r="S67" s="2" t="str">
        <f>TEXT(data[[#This Row],[Date]],"mmm yyyy")</f>
        <v>Jan 2024</v>
      </c>
      <c r="T67" s="8">
        <f>data[[#This Row],[Profit]]/data[[#This Row],[Revenue]]</f>
        <v>0.44339266450916942</v>
      </c>
    </row>
    <row r="68" spans="1:20" x14ac:dyDescent="0.3">
      <c r="A68">
        <v>10066</v>
      </c>
      <c r="B68" t="s">
        <v>79</v>
      </c>
      <c r="C68" t="s">
        <v>607</v>
      </c>
      <c r="D68" t="s">
        <v>617</v>
      </c>
      <c r="E68" t="s">
        <v>629</v>
      </c>
      <c r="F68" t="s">
        <v>696</v>
      </c>
      <c r="G68" t="s">
        <v>1759</v>
      </c>
      <c r="H68" t="s">
        <v>1767</v>
      </c>
      <c r="I68" t="s">
        <v>1775</v>
      </c>
      <c r="J68" t="s">
        <v>1778</v>
      </c>
      <c r="K68">
        <v>16</v>
      </c>
      <c r="L68" s="2">
        <v>288</v>
      </c>
      <c r="M68">
        <v>0.05</v>
      </c>
      <c r="N68" s="2">
        <v>210.82</v>
      </c>
      <c r="O68" s="2">
        <v>4377.6000000000004</v>
      </c>
      <c r="P68" s="2">
        <v>3373.12</v>
      </c>
      <c r="Q68" s="2">
        <v>1004.48</v>
      </c>
      <c r="R68">
        <v>0</v>
      </c>
      <c r="S68" s="2" t="str">
        <f>TEXT(data[[#This Row],[Date]],"mmm yyyy")</f>
        <v>Jan 2024</v>
      </c>
      <c r="T68" s="8">
        <f>data[[#This Row],[Profit]]/data[[#This Row],[Revenue]]</f>
        <v>0.22945906432748536</v>
      </c>
    </row>
    <row r="69" spans="1:20" x14ac:dyDescent="0.3">
      <c r="A69">
        <v>10067</v>
      </c>
      <c r="B69" t="s">
        <v>80</v>
      </c>
      <c r="C69" t="s">
        <v>607</v>
      </c>
      <c r="D69" t="s">
        <v>617</v>
      </c>
      <c r="E69" t="s">
        <v>628</v>
      </c>
      <c r="F69" t="s">
        <v>697</v>
      </c>
      <c r="G69" t="s">
        <v>1760</v>
      </c>
      <c r="H69" t="s">
        <v>1769</v>
      </c>
      <c r="I69" t="s">
        <v>1775</v>
      </c>
      <c r="J69" t="s">
        <v>1778</v>
      </c>
      <c r="K69">
        <v>17</v>
      </c>
      <c r="L69" s="2">
        <v>190</v>
      </c>
      <c r="M69">
        <v>0.05</v>
      </c>
      <c r="N69" s="2">
        <v>113.61</v>
      </c>
      <c r="O69" s="2">
        <v>3068.5</v>
      </c>
      <c r="P69" s="2">
        <v>1931.37</v>
      </c>
      <c r="Q69" s="2">
        <v>1137.1300000000001</v>
      </c>
      <c r="R69">
        <v>0</v>
      </c>
      <c r="S69" s="2" t="str">
        <f>TEXT(data[[#This Row],[Date]],"mmm yyyy")</f>
        <v>Sep 2024</v>
      </c>
      <c r="T69" s="8">
        <f>data[[#This Row],[Profit]]/data[[#This Row],[Revenue]]</f>
        <v>0.37058171745152357</v>
      </c>
    </row>
    <row r="70" spans="1:20" x14ac:dyDescent="0.3">
      <c r="A70">
        <v>10068</v>
      </c>
      <c r="B70" t="s">
        <v>81</v>
      </c>
      <c r="C70" t="s">
        <v>608</v>
      </c>
      <c r="D70" t="s">
        <v>615</v>
      </c>
      <c r="E70" t="s">
        <v>628</v>
      </c>
      <c r="F70" t="s">
        <v>698</v>
      </c>
      <c r="G70" t="s">
        <v>1765</v>
      </c>
      <c r="H70" t="s">
        <v>1768</v>
      </c>
      <c r="I70" t="s">
        <v>1773</v>
      </c>
      <c r="J70" t="s">
        <v>1777</v>
      </c>
      <c r="K70">
        <v>9</v>
      </c>
      <c r="L70" s="2">
        <v>873</v>
      </c>
      <c r="M70">
        <v>0.2</v>
      </c>
      <c r="N70" s="2">
        <v>454.85</v>
      </c>
      <c r="O70" s="2">
        <v>6285.6</v>
      </c>
      <c r="P70" s="2">
        <v>4093.65</v>
      </c>
      <c r="Q70" s="2">
        <v>2191.9499999999998</v>
      </c>
      <c r="R70">
        <v>0</v>
      </c>
      <c r="S70" s="2" t="str">
        <f>TEXT(data[[#This Row],[Date]],"mmm yyyy")</f>
        <v>Mar 2025</v>
      </c>
      <c r="T70" s="8">
        <f>data[[#This Row],[Profit]]/data[[#This Row],[Revenue]]</f>
        <v>0.34872565864833899</v>
      </c>
    </row>
    <row r="71" spans="1:20" x14ac:dyDescent="0.3">
      <c r="A71">
        <v>10069</v>
      </c>
      <c r="B71" t="s">
        <v>82</v>
      </c>
      <c r="C71" t="s">
        <v>607</v>
      </c>
      <c r="D71" t="s">
        <v>611</v>
      </c>
      <c r="E71" t="s">
        <v>629</v>
      </c>
      <c r="F71" t="s">
        <v>645</v>
      </c>
      <c r="G71" t="s">
        <v>1762</v>
      </c>
      <c r="H71" t="s">
        <v>1769</v>
      </c>
      <c r="I71" t="s">
        <v>1775</v>
      </c>
      <c r="J71" t="s">
        <v>1778</v>
      </c>
      <c r="K71">
        <v>8</v>
      </c>
      <c r="L71" s="2">
        <v>495</v>
      </c>
      <c r="M71">
        <v>0.2</v>
      </c>
      <c r="N71" s="2">
        <v>352.31</v>
      </c>
      <c r="O71" s="2">
        <v>3168</v>
      </c>
      <c r="P71" s="2">
        <v>2818.48</v>
      </c>
      <c r="Q71" s="2">
        <v>349.52</v>
      </c>
      <c r="R71">
        <v>0</v>
      </c>
      <c r="S71" s="2" t="str">
        <f>TEXT(data[[#This Row],[Date]],"mmm yyyy")</f>
        <v>Oct 2024</v>
      </c>
      <c r="T71" s="8">
        <f>data[[#This Row],[Profit]]/data[[#This Row],[Revenue]]</f>
        <v>0.11032828282828282</v>
      </c>
    </row>
    <row r="72" spans="1:20" x14ac:dyDescent="0.3">
      <c r="A72">
        <v>10070</v>
      </c>
      <c r="B72" t="s">
        <v>83</v>
      </c>
      <c r="C72" t="s">
        <v>606</v>
      </c>
      <c r="D72" t="s">
        <v>610</v>
      </c>
      <c r="E72" t="s">
        <v>627</v>
      </c>
      <c r="F72" t="s">
        <v>699</v>
      </c>
      <c r="G72" t="s">
        <v>1761</v>
      </c>
      <c r="H72" t="s">
        <v>1767</v>
      </c>
      <c r="I72" t="s">
        <v>1775</v>
      </c>
      <c r="J72" t="s">
        <v>1778</v>
      </c>
      <c r="K72">
        <v>6</v>
      </c>
      <c r="L72" s="2">
        <v>143</v>
      </c>
      <c r="M72">
        <v>0.05</v>
      </c>
      <c r="N72" s="2">
        <v>79.92</v>
      </c>
      <c r="O72" s="2">
        <v>815.1</v>
      </c>
      <c r="P72" s="2">
        <v>479.52</v>
      </c>
      <c r="Q72" s="2">
        <v>335.58</v>
      </c>
      <c r="R72">
        <v>0</v>
      </c>
      <c r="S72" s="2" t="str">
        <f>TEXT(data[[#This Row],[Date]],"mmm yyyy")</f>
        <v>Aug 2025</v>
      </c>
      <c r="T72" s="8">
        <f>data[[#This Row],[Profit]]/data[[#This Row],[Revenue]]</f>
        <v>0.41170408538829589</v>
      </c>
    </row>
    <row r="73" spans="1:20" x14ac:dyDescent="0.3">
      <c r="A73">
        <v>10071</v>
      </c>
      <c r="B73" t="s">
        <v>84</v>
      </c>
      <c r="C73" t="s">
        <v>608</v>
      </c>
      <c r="D73" t="s">
        <v>618</v>
      </c>
      <c r="E73" t="s">
        <v>628</v>
      </c>
      <c r="F73" t="s">
        <v>691</v>
      </c>
      <c r="G73" t="s">
        <v>1760</v>
      </c>
      <c r="H73" t="s">
        <v>1770</v>
      </c>
      <c r="I73" t="s">
        <v>1775</v>
      </c>
      <c r="J73" t="s">
        <v>1777</v>
      </c>
      <c r="K73">
        <v>15</v>
      </c>
      <c r="L73" s="2">
        <v>502</v>
      </c>
      <c r="M73">
        <v>0</v>
      </c>
      <c r="N73" s="2">
        <v>263.83999999999997</v>
      </c>
      <c r="O73" s="2">
        <v>7530</v>
      </c>
      <c r="P73" s="2">
        <v>3957.6</v>
      </c>
      <c r="Q73" s="2">
        <v>3572.4</v>
      </c>
      <c r="R73">
        <v>1</v>
      </c>
      <c r="S73" s="2" t="str">
        <f>TEXT(data[[#This Row],[Date]],"mmm yyyy")</f>
        <v>Aug 2024</v>
      </c>
      <c r="T73" s="8">
        <f>data[[#This Row],[Profit]]/data[[#This Row],[Revenue]]</f>
        <v>0.47442231075697211</v>
      </c>
    </row>
    <row r="74" spans="1:20" x14ac:dyDescent="0.3">
      <c r="A74">
        <v>10072</v>
      </c>
      <c r="B74" t="s">
        <v>85</v>
      </c>
      <c r="C74" t="s">
        <v>609</v>
      </c>
      <c r="D74" t="s">
        <v>622</v>
      </c>
      <c r="E74" t="s">
        <v>627</v>
      </c>
      <c r="F74" t="s">
        <v>700</v>
      </c>
      <c r="G74" t="s">
        <v>1762</v>
      </c>
      <c r="H74" t="s">
        <v>1771</v>
      </c>
      <c r="I74" t="s">
        <v>1774</v>
      </c>
      <c r="J74" t="s">
        <v>1776</v>
      </c>
      <c r="K74">
        <v>19</v>
      </c>
      <c r="L74" s="2">
        <v>607</v>
      </c>
      <c r="M74">
        <v>0.05</v>
      </c>
      <c r="N74" s="2">
        <v>444.65</v>
      </c>
      <c r="O74" s="2">
        <v>10956.35</v>
      </c>
      <c r="P74" s="2">
        <v>8448.35</v>
      </c>
      <c r="Q74" s="2">
        <v>2508</v>
      </c>
      <c r="R74">
        <v>0</v>
      </c>
      <c r="S74" s="2" t="str">
        <f>TEXT(data[[#This Row],[Date]],"mmm yyyy")</f>
        <v>Jun 2025</v>
      </c>
      <c r="T74" s="8">
        <f>data[[#This Row],[Profit]]/data[[#This Row],[Revenue]]</f>
        <v>0.22890834995231074</v>
      </c>
    </row>
    <row r="75" spans="1:20" x14ac:dyDescent="0.3">
      <c r="A75">
        <v>10073</v>
      </c>
      <c r="B75" t="s">
        <v>86</v>
      </c>
      <c r="C75" t="s">
        <v>609</v>
      </c>
      <c r="D75" t="s">
        <v>623</v>
      </c>
      <c r="E75" t="s">
        <v>626</v>
      </c>
      <c r="F75" t="s">
        <v>701</v>
      </c>
      <c r="G75" t="s">
        <v>1760</v>
      </c>
      <c r="H75" t="s">
        <v>1771</v>
      </c>
      <c r="I75" t="s">
        <v>1775</v>
      </c>
      <c r="J75" t="s">
        <v>1779</v>
      </c>
      <c r="K75">
        <v>12</v>
      </c>
      <c r="L75" s="2">
        <v>319</v>
      </c>
      <c r="M75">
        <v>0.1</v>
      </c>
      <c r="N75" s="2">
        <v>170.77</v>
      </c>
      <c r="O75" s="2">
        <v>3445.2</v>
      </c>
      <c r="P75" s="2">
        <v>2049.2399999999998</v>
      </c>
      <c r="Q75" s="2">
        <v>1395.96</v>
      </c>
      <c r="R75">
        <v>0</v>
      </c>
      <c r="S75" s="2" t="str">
        <f>TEXT(data[[#This Row],[Date]],"mmm yyyy")</f>
        <v>Sep 2024</v>
      </c>
      <c r="T75" s="8">
        <f>data[[#This Row],[Profit]]/data[[#This Row],[Revenue]]</f>
        <v>0.40518982932776038</v>
      </c>
    </row>
    <row r="76" spans="1:20" x14ac:dyDescent="0.3">
      <c r="A76">
        <v>10074</v>
      </c>
      <c r="B76" t="s">
        <v>87</v>
      </c>
      <c r="C76" t="s">
        <v>606</v>
      </c>
      <c r="D76" t="s">
        <v>610</v>
      </c>
      <c r="E76" t="s">
        <v>628</v>
      </c>
      <c r="F76" t="s">
        <v>702</v>
      </c>
      <c r="G76" t="s">
        <v>1763</v>
      </c>
      <c r="H76" t="s">
        <v>1769</v>
      </c>
      <c r="I76" t="s">
        <v>1773</v>
      </c>
      <c r="J76" t="s">
        <v>1779</v>
      </c>
      <c r="K76">
        <v>3</v>
      </c>
      <c r="L76" s="2">
        <v>309</v>
      </c>
      <c r="M76">
        <v>0.05</v>
      </c>
      <c r="N76" s="2">
        <v>156.93</v>
      </c>
      <c r="O76" s="2">
        <v>880.65</v>
      </c>
      <c r="P76" s="2">
        <v>470.79</v>
      </c>
      <c r="Q76" s="2">
        <v>409.86</v>
      </c>
      <c r="R76">
        <v>1</v>
      </c>
      <c r="S76" s="2" t="str">
        <f>TEXT(data[[#This Row],[Date]],"mmm yyyy")</f>
        <v>Jul 2025</v>
      </c>
      <c r="T76" s="8">
        <f>data[[#This Row],[Profit]]/data[[#This Row],[Revenue]]</f>
        <v>0.46540623403168119</v>
      </c>
    </row>
    <row r="77" spans="1:20" x14ac:dyDescent="0.3">
      <c r="A77">
        <v>10075</v>
      </c>
      <c r="B77" t="s">
        <v>88</v>
      </c>
      <c r="C77" t="s">
        <v>608</v>
      </c>
      <c r="D77" t="s">
        <v>614</v>
      </c>
      <c r="E77" t="s">
        <v>629</v>
      </c>
      <c r="F77" t="s">
        <v>703</v>
      </c>
      <c r="G77" t="s">
        <v>1760</v>
      </c>
      <c r="H77" t="s">
        <v>1770</v>
      </c>
      <c r="I77" t="s">
        <v>1775</v>
      </c>
      <c r="J77" t="s">
        <v>1778</v>
      </c>
      <c r="K77">
        <v>13</v>
      </c>
      <c r="L77" s="2">
        <v>567</v>
      </c>
      <c r="M77">
        <v>0.1</v>
      </c>
      <c r="N77" s="2">
        <v>341.59</v>
      </c>
      <c r="O77" s="2">
        <v>6633.9</v>
      </c>
      <c r="P77" s="2">
        <v>4440.67</v>
      </c>
      <c r="Q77" s="2">
        <v>2193.23</v>
      </c>
      <c r="R77">
        <v>0</v>
      </c>
      <c r="S77" s="2" t="str">
        <f>TEXT(data[[#This Row],[Date]],"mmm yyyy")</f>
        <v>Nov 2025</v>
      </c>
      <c r="T77" s="8">
        <f>data[[#This Row],[Profit]]/data[[#This Row],[Revenue]]</f>
        <v>0.33060944542426024</v>
      </c>
    </row>
    <row r="78" spans="1:20" x14ac:dyDescent="0.3">
      <c r="A78">
        <v>10076</v>
      </c>
      <c r="B78" t="s">
        <v>89</v>
      </c>
      <c r="C78" t="s">
        <v>607</v>
      </c>
      <c r="D78" t="s">
        <v>611</v>
      </c>
      <c r="E78" t="s">
        <v>628</v>
      </c>
      <c r="F78" t="s">
        <v>704</v>
      </c>
      <c r="G78" t="s">
        <v>1763</v>
      </c>
      <c r="H78" t="s">
        <v>1768</v>
      </c>
      <c r="I78" t="s">
        <v>1773</v>
      </c>
      <c r="J78" t="s">
        <v>1776</v>
      </c>
      <c r="K78">
        <v>7</v>
      </c>
      <c r="L78" s="2">
        <v>1172</v>
      </c>
      <c r="M78">
        <v>0.15</v>
      </c>
      <c r="N78" s="2">
        <v>799.31</v>
      </c>
      <c r="O78" s="2">
        <v>6973.4</v>
      </c>
      <c r="P78" s="2">
        <v>5595.17</v>
      </c>
      <c r="Q78" s="2">
        <v>1378.23</v>
      </c>
      <c r="R78">
        <v>0</v>
      </c>
      <c r="S78" s="2" t="str">
        <f>TEXT(data[[#This Row],[Date]],"mmm yyyy")</f>
        <v>Jan 2024</v>
      </c>
      <c r="T78" s="8">
        <f>data[[#This Row],[Profit]]/data[[#This Row],[Revenue]]</f>
        <v>0.19764103593655893</v>
      </c>
    </row>
    <row r="79" spans="1:20" x14ac:dyDescent="0.3">
      <c r="A79">
        <v>10077</v>
      </c>
      <c r="B79" t="s">
        <v>90</v>
      </c>
      <c r="C79" t="s">
        <v>607</v>
      </c>
      <c r="D79" t="s">
        <v>617</v>
      </c>
      <c r="E79" t="s">
        <v>628</v>
      </c>
      <c r="F79" t="s">
        <v>705</v>
      </c>
      <c r="G79" t="s">
        <v>1766</v>
      </c>
      <c r="H79" t="s">
        <v>1767</v>
      </c>
      <c r="I79" t="s">
        <v>1774</v>
      </c>
      <c r="J79" t="s">
        <v>1777</v>
      </c>
      <c r="K79">
        <v>6</v>
      </c>
      <c r="L79" s="2">
        <v>277</v>
      </c>
      <c r="M79">
        <v>0.05</v>
      </c>
      <c r="N79" s="2">
        <v>139.53</v>
      </c>
      <c r="O79" s="2">
        <v>1578.9</v>
      </c>
      <c r="P79" s="2">
        <v>837.18</v>
      </c>
      <c r="Q79" s="2">
        <v>741.72</v>
      </c>
      <c r="R79">
        <v>0</v>
      </c>
      <c r="S79" s="2" t="str">
        <f>TEXT(data[[#This Row],[Date]],"mmm yyyy")</f>
        <v>Oct 2025</v>
      </c>
      <c r="T79" s="8">
        <f>data[[#This Row],[Profit]]/data[[#This Row],[Revenue]]</f>
        <v>0.46977009310279305</v>
      </c>
    </row>
    <row r="80" spans="1:20" x14ac:dyDescent="0.3">
      <c r="A80">
        <v>10078</v>
      </c>
      <c r="B80" t="s">
        <v>91</v>
      </c>
      <c r="C80" t="s">
        <v>608</v>
      </c>
      <c r="D80" t="s">
        <v>612</v>
      </c>
      <c r="E80" t="s">
        <v>628</v>
      </c>
      <c r="F80" t="s">
        <v>706</v>
      </c>
      <c r="G80" t="s">
        <v>1762</v>
      </c>
      <c r="H80" t="s">
        <v>1772</v>
      </c>
      <c r="I80" t="s">
        <v>1773</v>
      </c>
      <c r="J80" t="s">
        <v>1776</v>
      </c>
      <c r="K80">
        <v>17</v>
      </c>
      <c r="L80" s="2">
        <v>665</v>
      </c>
      <c r="M80">
        <v>0.05</v>
      </c>
      <c r="N80" s="2">
        <v>486.36</v>
      </c>
      <c r="O80" s="2">
        <v>10739.75</v>
      </c>
      <c r="P80" s="2">
        <v>8268.1200000000008</v>
      </c>
      <c r="Q80" s="2">
        <v>2471.63</v>
      </c>
      <c r="R80">
        <v>0</v>
      </c>
      <c r="S80" s="2" t="str">
        <f>TEXT(data[[#This Row],[Date]],"mmm yyyy")</f>
        <v>Jan 2025</v>
      </c>
      <c r="T80" s="8">
        <f>data[[#This Row],[Profit]]/data[[#This Row],[Revenue]]</f>
        <v>0.23013850415512466</v>
      </c>
    </row>
    <row r="81" spans="1:20" x14ac:dyDescent="0.3">
      <c r="A81">
        <v>10079</v>
      </c>
      <c r="B81" t="s">
        <v>92</v>
      </c>
      <c r="C81" t="s">
        <v>607</v>
      </c>
      <c r="D81" t="s">
        <v>617</v>
      </c>
      <c r="E81" t="s">
        <v>627</v>
      </c>
      <c r="F81" t="s">
        <v>707</v>
      </c>
      <c r="G81" t="s">
        <v>1759</v>
      </c>
      <c r="H81" t="s">
        <v>1768</v>
      </c>
      <c r="I81" t="s">
        <v>1775</v>
      </c>
      <c r="J81" t="s">
        <v>1777</v>
      </c>
      <c r="K81">
        <v>3</v>
      </c>
      <c r="L81" s="2">
        <v>1197</v>
      </c>
      <c r="M81">
        <v>0.2</v>
      </c>
      <c r="N81" s="2">
        <v>804.45</v>
      </c>
      <c r="O81" s="2">
        <v>2872.8</v>
      </c>
      <c r="P81" s="2">
        <v>2413.35</v>
      </c>
      <c r="Q81" s="2">
        <v>459.45</v>
      </c>
      <c r="R81">
        <v>0</v>
      </c>
      <c r="S81" s="2" t="str">
        <f>TEXT(data[[#This Row],[Date]],"mmm yyyy")</f>
        <v>Oct 2025</v>
      </c>
      <c r="T81" s="8">
        <f>data[[#This Row],[Profit]]/data[[#This Row],[Revenue]]</f>
        <v>0.15993107769423556</v>
      </c>
    </row>
    <row r="82" spans="1:20" x14ac:dyDescent="0.3">
      <c r="A82">
        <v>10080</v>
      </c>
      <c r="B82" t="s">
        <v>93</v>
      </c>
      <c r="C82" t="s">
        <v>608</v>
      </c>
      <c r="D82" t="s">
        <v>614</v>
      </c>
      <c r="E82" t="s">
        <v>627</v>
      </c>
      <c r="F82" t="s">
        <v>708</v>
      </c>
      <c r="G82" t="s">
        <v>1760</v>
      </c>
      <c r="H82" t="s">
        <v>1767</v>
      </c>
      <c r="I82" t="s">
        <v>1774</v>
      </c>
      <c r="J82" t="s">
        <v>1778</v>
      </c>
      <c r="K82">
        <v>6</v>
      </c>
      <c r="L82" s="2">
        <v>212</v>
      </c>
      <c r="M82">
        <v>0.15</v>
      </c>
      <c r="N82" s="2">
        <v>125.04</v>
      </c>
      <c r="O82" s="2">
        <v>1081.2</v>
      </c>
      <c r="P82" s="2">
        <v>750.24</v>
      </c>
      <c r="Q82" s="2">
        <v>330.96</v>
      </c>
      <c r="R82">
        <v>0</v>
      </c>
      <c r="S82" s="2" t="str">
        <f>TEXT(data[[#This Row],[Date]],"mmm yyyy")</f>
        <v>Sep 2024</v>
      </c>
      <c r="T82" s="8">
        <f>data[[#This Row],[Profit]]/data[[#This Row],[Revenue]]</f>
        <v>0.30610432852386232</v>
      </c>
    </row>
    <row r="83" spans="1:20" x14ac:dyDescent="0.3">
      <c r="A83">
        <v>10081</v>
      </c>
      <c r="B83" t="s">
        <v>94</v>
      </c>
      <c r="C83" t="s">
        <v>609</v>
      </c>
      <c r="D83" t="s">
        <v>619</v>
      </c>
      <c r="E83" t="s">
        <v>627</v>
      </c>
      <c r="F83" t="s">
        <v>709</v>
      </c>
      <c r="G83" t="s">
        <v>1763</v>
      </c>
      <c r="H83" t="s">
        <v>1769</v>
      </c>
      <c r="I83" t="s">
        <v>1774</v>
      </c>
      <c r="J83" t="s">
        <v>1778</v>
      </c>
      <c r="K83">
        <v>18</v>
      </c>
      <c r="L83" s="2">
        <v>383</v>
      </c>
      <c r="M83">
        <v>0.1</v>
      </c>
      <c r="N83" s="2">
        <v>253.64</v>
      </c>
      <c r="O83" s="2">
        <v>6204.6</v>
      </c>
      <c r="P83" s="2">
        <v>4565.5200000000004</v>
      </c>
      <c r="Q83" s="2">
        <v>1639.08</v>
      </c>
      <c r="R83">
        <v>0</v>
      </c>
      <c r="S83" s="2" t="str">
        <f>TEXT(data[[#This Row],[Date]],"mmm yyyy")</f>
        <v>Aug 2025</v>
      </c>
      <c r="T83" s="8">
        <f>data[[#This Row],[Profit]]/data[[#This Row],[Revenue]]</f>
        <v>0.26417174354511164</v>
      </c>
    </row>
    <row r="84" spans="1:20" x14ac:dyDescent="0.3">
      <c r="A84">
        <v>10082</v>
      </c>
      <c r="B84" t="s">
        <v>95</v>
      </c>
      <c r="C84" t="s">
        <v>607</v>
      </c>
      <c r="D84" t="s">
        <v>611</v>
      </c>
      <c r="E84" t="s">
        <v>628</v>
      </c>
      <c r="F84" t="s">
        <v>710</v>
      </c>
      <c r="G84" t="s">
        <v>1765</v>
      </c>
      <c r="H84" t="s">
        <v>1771</v>
      </c>
      <c r="I84" t="s">
        <v>1775</v>
      </c>
      <c r="J84" t="s">
        <v>1779</v>
      </c>
      <c r="K84">
        <v>1</v>
      </c>
      <c r="L84" s="2">
        <v>311</v>
      </c>
      <c r="M84">
        <v>0.2</v>
      </c>
      <c r="N84" s="2">
        <v>232.17</v>
      </c>
      <c r="O84" s="2">
        <v>248.8</v>
      </c>
      <c r="P84" s="2">
        <v>232.17</v>
      </c>
      <c r="Q84" s="2">
        <v>16.63</v>
      </c>
      <c r="R84">
        <v>1</v>
      </c>
      <c r="S84" s="2" t="str">
        <f>TEXT(data[[#This Row],[Date]],"mmm yyyy")</f>
        <v>Aug 2024</v>
      </c>
      <c r="T84" s="8">
        <f>data[[#This Row],[Profit]]/data[[#This Row],[Revenue]]</f>
        <v>6.6840836012861726E-2</v>
      </c>
    </row>
    <row r="85" spans="1:20" x14ac:dyDescent="0.3">
      <c r="A85">
        <v>10083</v>
      </c>
      <c r="B85" t="s">
        <v>96</v>
      </c>
      <c r="C85" t="s">
        <v>609</v>
      </c>
      <c r="D85" t="s">
        <v>622</v>
      </c>
      <c r="E85" t="s">
        <v>626</v>
      </c>
      <c r="F85" t="s">
        <v>711</v>
      </c>
      <c r="G85" t="s">
        <v>1765</v>
      </c>
      <c r="H85" t="s">
        <v>1771</v>
      </c>
      <c r="I85" t="s">
        <v>1773</v>
      </c>
      <c r="J85" t="s">
        <v>1778</v>
      </c>
      <c r="K85">
        <v>14</v>
      </c>
      <c r="L85" s="2">
        <v>483</v>
      </c>
      <c r="M85">
        <v>0.1</v>
      </c>
      <c r="N85" s="2">
        <v>252.57</v>
      </c>
      <c r="O85" s="2">
        <v>6085.8</v>
      </c>
      <c r="P85" s="2">
        <v>3535.98</v>
      </c>
      <c r="Q85" s="2">
        <v>2549.8200000000002</v>
      </c>
      <c r="R85">
        <v>1</v>
      </c>
      <c r="S85" s="2" t="str">
        <f>TEXT(data[[#This Row],[Date]],"mmm yyyy")</f>
        <v>May 2025</v>
      </c>
      <c r="T85" s="8">
        <f>data[[#This Row],[Profit]]/data[[#This Row],[Revenue]]</f>
        <v>0.4189786059351277</v>
      </c>
    </row>
    <row r="86" spans="1:20" x14ac:dyDescent="0.3">
      <c r="A86">
        <v>10084</v>
      </c>
      <c r="B86" t="s">
        <v>97</v>
      </c>
      <c r="C86" t="s">
        <v>609</v>
      </c>
      <c r="D86" t="s">
        <v>622</v>
      </c>
      <c r="E86" t="s">
        <v>627</v>
      </c>
      <c r="F86" t="s">
        <v>712</v>
      </c>
      <c r="G86" t="s">
        <v>1762</v>
      </c>
      <c r="H86" t="s">
        <v>1769</v>
      </c>
      <c r="I86" t="s">
        <v>1773</v>
      </c>
      <c r="J86" t="s">
        <v>1777</v>
      </c>
      <c r="K86">
        <v>5</v>
      </c>
      <c r="L86" s="2">
        <v>343</v>
      </c>
      <c r="M86">
        <v>0</v>
      </c>
      <c r="N86" s="2">
        <v>244.99</v>
      </c>
      <c r="O86" s="2">
        <v>1715</v>
      </c>
      <c r="P86" s="2">
        <v>1224.95</v>
      </c>
      <c r="Q86" s="2">
        <v>490.05</v>
      </c>
      <c r="R86">
        <v>0</v>
      </c>
      <c r="S86" s="2" t="str">
        <f>TEXT(data[[#This Row],[Date]],"mmm yyyy")</f>
        <v>Jul 2024</v>
      </c>
      <c r="T86" s="8">
        <f>data[[#This Row],[Profit]]/data[[#This Row],[Revenue]]</f>
        <v>0.28574344023323617</v>
      </c>
    </row>
    <row r="87" spans="1:20" x14ac:dyDescent="0.3">
      <c r="A87">
        <v>10085</v>
      </c>
      <c r="B87" t="s">
        <v>98</v>
      </c>
      <c r="C87" t="s">
        <v>609</v>
      </c>
      <c r="D87" t="s">
        <v>623</v>
      </c>
      <c r="E87" t="s">
        <v>627</v>
      </c>
      <c r="F87" t="s">
        <v>713</v>
      </c>
      <c r="G87" t="s">
        <v>1764</v>
      </c>
      <c r="H87" t="s">
        <v>1769</v>
      </c>
      <c r="I87" t="s">
        <v>1773</v>
      </c>
      <c r="J87" t="s">
        <v>1778</v>
      </c>
      <c r="K87">
        <v>6</v>
      </c>
      <c r="L87" s="2">
        <v>279</v>
      </c>
      <c r="M87">
        <v>0.1</v>
      </c>
      <c r="N87" s="2">
        <v>202.03</v>
      </c>
      <c r="O87" s="2">
        <v>1506.6</v>
      </c>
      <c r="P87" s="2">
        <v>1212.18</v>
      </c>
      <c r="Q87" s="2">
        <v>294.42</v>
      </c>
      <c r="R87">
        <v>0</v>
      </c>
      <c r="S87" s="2" t="str">
        <f>TEXT(data[[#This Row],[Date]],"mmm yyyy")</f>
        <v>Apr 2025</v>
      </c>
      <c r="T87" s="8">
        <f>data[[#This Row],[Profit]]/data[[#This Row],[Revenue]]</f>
        <v>0.19542015133412985</v>
      </c>
    </row>
    <row r="88" spans="1:20" x14ac:dyDescent="0.3">
      <c r="A88">
        <v>10086</v>
      </c>
      <c r="B88" t="s">
        <v>99</v>
      </c>
      <c r="C88" t="s">
        <v>608</v>
      </c>
      <c r="D88" t="s">
        <v>612</v>
      </c>
      <c r="E88" t="s">
        <v>629</v>
      </c>
      <c r="F88" t="s">
        <v>714</v>
      </c>
      <c r="G88" t="s">
        <v>1765</v>
      </c>
      <c r="H88" t="s">
        <v>1772</v>
      </c>
      <c r="I88" t="s">
        <v>1775</v>
      </c>
      <c r="J88" t="s">
        <v>1776</v>
      </c>
      <c r="K88">
        <v>7</v>
      </c>
      <c r="L88" s="2">
        <v>537</v>
      </c>
      <c r="M88">
        <v>0.05</v>
      </c>
      <c r="N88" s="2">
        <v>322.67</v>
      </c>
      <c r="O88" s="2">
        <v>3571.05</v>
      </c>
      <c r="P88" s="2">
        <v>2258.69</v>
      </c>
      <c r="Q88" s="2">
        <v>1312.36</v>
      </c>
      <c r="R88">
        <v>0</v>
      </c>
      <c r="S88" s="2" t="str">
        <f>TEXT(data[[#This Row],[Date]],"mmm yyyy")</f>
        <v>Nov 2025</v>
      </c>
      <c r="T88" s="8">
        <f>data[[#This Row],[Profit]]/data[[#This Row],[Revenue]]</f>
        <v>0.3674997549740272</v>
      </c>
    </row>
    <row r="89" spans="1:20" x14ac:dyDescent="0.3">
      <c r="A89">
        <v>10087</v>
      </c>
      <c r="B89" t="s">
        <v>100</v>
      </c>
      <c r="C89" t="s">
        <v>609</v>
      </c>
      <c r="D89" t="s">
        <v>623</v>
      </c>
      <c r="E89" t="s">
        <v>628</v>
      </c>
      <c r="F89" t="s">
        <v>715</v>
      </c>
      <c r="G89" t="s">
        <v>1762</v>
      </c>
      <c r="H89" t="s">
        <v>1767</v>
      </c>
      <c r="I89" t="s">
        <v>1775</v>
      </c>
      <c r="J89" t="s">
        <v>1778</v>
      </c>
      <c r="K89">
        <v>17</v>
      </c>
      <c r="L89" s="2">
        <v>222</v>
      </c>
      <c r="M89">
        <v>0.2</v>
      </c>
      <c r="N89" s="2">
        <v>149.22</v>
      </c>
      <c r="O89" s="2">
        <v>3019.2</v>
      </c>
      <c r="P89" s="2">
        <v>2536.7399999999998</v>
      </c>
      <c r="Q89" s="2">
        <v>482.46</v>
      </c>
      <c r="R89">
        <v>0</v>
      </c>
      <c r="S89" s="2" t="str">
        <f>TEXT(data[[#This Row],[Date]],"mmm yyyy")</f>
        <v>Sep 2024</v>
      </c>
      <c r="T89" s="8">
        <f>data[[#This Row],[Profit]]/data[[#This Row],[Revenue]]</f>
        <v>0.1597972972972973</v>
      </c>
    </row>
    <row r="90" spans="1:20" x14ac:dyDescent="0.3">
      <c r="A90">
        <v>10088</v>
      </c>
      <c r="B90" t="s">
        <v>101</v>
      </c>
      <c r="C90" t="s">
        <v>608</v>
      </c>
      <c r="D90" t="s">
        <v>612</v>
      </c>
      <c r="E90" t="s">
        <v>629</v>
      </c>
      <c r="F90" t="s">
        <v>716</v>
      </c>
      <c r="G90" t="s">
        <v>1766</v>
      </c>
      <c r="H90" t="s">
        <v>1772</v>
      </c>
      <c r="I90" t="s">
        <v>1774</v>
      </c>
      <c r="J90" t="s">
        <v>1776</v>
      </c>
      <c r="K90">
        <v>15</v>
      </c>
      <c r="L90" s="2">
        <v>583</v>
      </c>
      <c r="M90">
        <v>0.05</v>
      </c>
      <c r="N90" s="2">
        <v>317.26</v>
      </c>
      <c r="O90" s="2">
        <v>8307.75</v>
      </c>
      <c r="P90" s="2">
        <v>4758.8999999999996</v>
      </c>
      <c r="Q90" s="2">
        <v>3548.85</v>
      </c>
      <c r="R90">
        <v>0</v>
      </c>
      <c r="S90" s="2" t="str">
        <f>TEXT(data[[#This Row],[Date]],"mmm yyyy")</f>
        <v>Oct 2024</v>
      </c>
      <c r="T90" s="8">
        <f>data[[#This Row],[Profit]]/data[[#This Row],[Revenue]]</f>
        <v>0.42717342240678885</v>
      </c>
    </row>
    <row r="91" spans="1:20" x14ac:dyDescent="0.3">
      <c r="A91">
        <v>10089</v>
      </c>
      <c r="B91" t="s">
        <v>102</v>
      </c>
      <c r="C91" t="s">
        <v>609</v>
      </c>
      <c r="D91" t="s">
        <v>613</v>
      </c>
      <c r="E91" t="s">
        <v>627</v>
      </c>
      <c r="F91" t="s">
        <v>717</v>
      </c>
      <c r="G91" t="s">
        <v>1759</v>
      </c>
      <c r="H91" t="s">
        <v>1771</v>
      </c>
      <c r="I91" t="s">
        <v>1774</v>
      </c>
      <c r="J91" t="s">
        <v>1776</v>
      </c>
      <c r="K91">
        <v>20</v>
      </c>
      <c r="L91" s="2">
        <v>448</v>
      </c>
      <c r="M91">
        <v>0.15</v>
      </c>
      <c r="N91" s="2">
        <v>270.77999999999997</v>
      </c>
      <c r="O91" s="2">
        <v>7616</v>
      </c>
      <c r="P91" s="2">
        <v>5415.6</v>
      </c>
      <c r="Q91" s="2">
        <v>2200.4</v>
      </c>
      <c r="R91">
        <v>0</v>
      </c>
      <c r="S91" s="2" t="str">
        <f>TEXT(data[[#This Row],[Date]],"mmm yyyy")</f>
        <v>Feb 2024</v>
      </c>
      <c r="T91" s="8">
        <f>data[[#This Row],[Profit]]/data[[#This Row],[Revenue]]</f>
        <v>0.28891806722689078</v>
      </c>
    </row>
    <row r="92" spans="1:20" x14ac:dyDescent="0.3">
      <c r="A92">
        <v>10090</v>
      </c>
      <c r="B92" t="s">
        <v>103</v>
      </c>
      <c r="C92" t="s">
        <v>609</v>
      </c>
      <c r="D92" t="s">
        <v>622</v>
      </c>
      <c r="E92" t="s">
        <v>627</v>
      </c>
      <c r="F92" t="s">
        <v>718</v>
      </c>
      <c r="G92" t="s">
        <v>1762</v>
      </c>
      <c r="H92" t="s">
        <v>1768</v>
      </c>
      <c r="I92" t="s">
        <v>1774</v>
      </c>
      <c r="J92" t="s">
        <v>1777</v>
      </c>
      <c r="K92">
        <v>12</v>
      </c>
      <c r="L92" s="2">
        <v>1380</v>
      </c>
      <c r="M92">
        <v>0.1</v>
      </c>
      <c r="N92" s="2">
        <v>726.7</v>
      </c>
      <c r="O92" s="2">
        <v>14904</v>
      </c>
      <c r="P92" s="2">
        <v>8720.4</v>
      </c>
      <c r="Q92" s="2">
        <v>6183.6</v>
      </c>
      <c r="R92">
        <v>0</v>
      </c>
      <c r="S92" s="2" t="str">
        <f>TEXT(data[[#This Row],[Date]],"mmm yyyy")</f>
        <v>Jun 2025</v>
      </c>
      <c r="T92" s="8">
        <f>data[[#This Row],[Profit]]/data[[#This Row],[Revenue]]</f>
        <v>0.41489533011272145</v>
      </c>
    </row>
    <row r="93" spans="1:20" x14ac:dyDescent="0.3">
      <c r="A93">
        <v>10091</v>
      </c>
      <c r="B93" t="s">
        <v>104</v>
      </c>
      <c r="C93" t="s">
        <v>608</v>
      </c>
      <c r="D93" t="s">
        <v>612</v>
      </c>
      <c r="E93" t="s">
        <v>627</v>
      </c>
      <c r="F93" t="s">
        <v>719</v>
      </c>
      <c r="G93" t="s">
        <v>1761</v>
      </c>
      <c r="H93" t="s">
        <v>1769</v>
      </c>
      <c r="I93" t="s">
        <v>1773</v>
      </c>
      <c r="J93" t="s">
        <v>1777</v>
      </c>
      <c r="K93">
        <v>6</v>
      </c>
      <c r="L93" s="2">
        <v>393</v>
      </c>
      <c r="M93">
        <v>0.05</v>
      </c>
      <c r="N93" s="2">
        <v>197.89</v>
      </c>
      <c r="O93" s="2">
        <v>2240.1</v>
      </c>
      <c r="P93" s="2">
        <v>1187.3399999999999</v>
      </c>
      <c r="Q93" s="2">
        <v>1052.76</v>
      </c>
      <c r="R93">
        <v>0</v>
      </c>
      <c r="S93" s="2" t="str">
        <f>TEXT(data[[#This Row],[Date]],"mmm yyyy")</f>
        <v>Dec 2025</v>
      </c>
      <c r="T93" s="8">
        <f>data[[#This Row],[Profit]]/data[[#This Row],[Revenue]]</f>
        <v>0.46996116244810499</v>
      </c>
    </row>
    <row r="94" spans="1:20" x14ac:dyDescent="0.3">
      <c r="A94">
        <v>10092</v>
      </c>
      <c r="B94" t="s">
        <v>105</v>
      </c>
      <c r="C94" t="s">
        <v>606</v>
      </c>
      <c r="D94" t="s">
        <v>616</v>
      </c>
      <c r="E94" t="s">
        <v>628</v>
      </c>
      <c r="F94" t="s">
        <v>720</v>
      </c>
      <c r="G94" t="s">
        <v>1765</v>
      </c>
      <c r="H94" t="s">
        <v>1772</v>
      </c>
      <c r="I94" t="s">
        <v>1773</v>
      </c>
      <c r="J94" t="s">
        <v>1776</v>
      </c>
      <c r="K94">
        <v>2</v>
      </c>
      <c r="L94" s="2">
        <v>511</v>
      </c>
      <c r="M94">
        <v>0.2</v>
      </c>
      <c r="N94" s="2">
        <v>369.54</v>
      </c>
      <c r="O94" s="2">
        <v>817.6</v>
      </c>
      <c r="P94" s="2">
        <v>739.08</v>
      </c>
      <c r="Q94" s="2">
        <v>78.52</v>
      </c>
      <c r="R94">
        <v>1</v>
      </c>
      <c r="S94" s="2" t="str">
        <f>TEXT(data[[#This Row],[Date]],"mmm yyyy")</f>
        <v>Sep 2025</v>
      </c>
      <c r="T94" s="8">
        <f>data[[#This Row],[Profit]]/data[[#This Row],[Revenue]]</f>
        <v>9.6037181996086102E-2</v>
      </c>
    </row>
    <row r="95" spans="1:20" x14ac:dyDescent="0.3">
      <c r="A95">
        <v>10093</v>
      </c>
      <c r="B95" t="s">
        <v>106</v>
      </c>
      <c r="C95" t="s">
        <v>609</v>
      </c>
      <c r="D95" t="s">
        <v>622</v>
      </c>
      <c r="E95" t="s">
        <v>627</v>
      </c>
      <c r="F95" t="s">
        <v>721</v>
      </c>
      <c r="G95" t="s">
        <v>1763</v>
      </c>
      <c r="H95" t="s">
        <v>1767</v>
      </c>
      <c r="I95" t="s">
        <v>1773</v>
      </c>
      <c r="J95" t="s">
        <v>1779</v>
      </c>
      <c r="K95">
        <v>8</v>
      </c>
      <c r="L95" s="2">
        <v>127</v>
      </c>
      <c r="M95">
        <v>0.05</v>
      </c>
      <c r="N95" s="2">
        <v>65.349999999999994</v>
      </c>
      <c r="O95" s="2">
        <v>965.2</v>
      </c>
      <c r="P95" s="2">
        <v>522.79999999999995</v>
      </c>
      <c r="Q95" s="2">
        <v>442.4</v>
      </c>
      <c r="R95">
        <v>0</v>
      </c>
      <c r="S95" s="2" t="str">
        <f>TEXT(data[[#This Row],[Date]],"mmm yyyy")</f>
        <v>Jan 2024</v>
      </c>
      <c r="T95" s="8">
        <f>data[[#This Row],[Profit]]/data[[#This Row],[Revenue]]</f>
        <v>0.45835060091172808</v>
      </c>
    </row>
    <row r="96" spans="1:20" x14ac:dyDescent="0.3">
      <c r="A96">
        <v>10094</v>
      </c>
      <c r="B96" t="s">
        <v>107</v>
      </c>
      <c r="C96" t="s">
        <v>608</v>
      </c>
      <c r="D96" t="s">
        <v>612</v>
      </c>
      <c r="E96" t="s">
        <v>628</v>
      </c>
      <c r="F96" t="s">
        <v>722</v>
      </c>
      <c r="G96" t="s">
        <v>1761</v>
      </c>
      <c r="H96" t="s">
        <v>1768</v>
      </c>
      <c r="I96" t="s">
        <v>1774</v>
      </c>
      <c r="J96" t="s">
        <v>1779</v>
      </c>
      <c r="K96">
        <v>2</v>
      </c>
      <c r="L96" s="2">
        <v>1107</v>
      </c>
      <c r="M96">
        <v>0.15</v>
      </c>
      <c r="N96" s="2">
        <v>751.49</v>
      </c>
      <c r="O96" s="2">
        <v>1881.9</v>
      </c>
      <c r="P96" s="2">
        <v>1502.98</v>
      </c>
      <c r="Q96" s="2">
        <v>378.92</v>
      </c>
      <c r="R96">
        <v>0</v>
      </c>
      <c r="S96" s="2" t="str">
        <f>TEXT(data[[#This Row],[Date]],"mmm yyyy")</f>
        <v>Jan 2025</v>
      </c>
      <c r="T96" s="8">
        <f>data[[#This Row],[Profit]]/data[[#This Row],[Revenue]]</f>
        <v>0.20134969977150752</v>
      </c>
    </row>
    <row r="97" spans="1:20" x14ac:dyDescent="0.3">
      <c r="A97">
        <v>10095</v>
      </c>
      <c r="B97" t="s">
        <v>108</v>
      </c>
      <c r="C97" t="s">
        <v>608</v>
      </c>
      <c r="D97" t="s">
        <v>618</v>
      </c>
      <c r="E97" t="s">
        <v>626</v>
      </c>
      <c r="F97" t="s">
        <v>723</v>
      </c>
      <c r="G97" t="s">
        <v>1763</v>
      </c>
      <c r="H97" t="s">
        <v>1768</v>
      </c>
      <c r="I97" t="s">
        <v>1774</v>
      </c>
      <c r="J97" t="s">
        <v>1778</v>
      </c>
      <c r="K97">
        <v>8</v>
      </c>
      <c r="L97" s="2">
        <v>1067</v>
      </c>
      <c r="M97">
        <v>0</v>
      </c>
      <c r="N97" s="2">
        <v>566.38</v>
      </c>
      <c r="O97" s="2">
        <v>8536</v>
      </c>
      <c r="P97" s="2">
        <v>4531.04</v>
      </c>
      <c r="Q97" s="2">
        <v>4004.96</v>
      </c>
      <c r="R97">
        <v>0</v>
      </c>
      <c r="S97" s="2" t="str">
        <f>TEXT(data[[#This Row],[Date]],"mmm yyyy")</f>
        <v>Dec 2025</v>
      </c>
      <c r="T97" s="8">
        <f>data[[#This Row],[Profit]]/data[[#This Row],[Revenue]]</f>
        <v>0.46918462980318648</v>
      </c>
    </row>
    <row r="98" spans="1:20" x14ac:dyDescent="0.3">
      <c r="A98">
        <v>10096</v>
      </c>
      <c r="B98" t="s">
        <v>109</v>
      </c>
      <c r="C98" t="s">
        <v>606</v>
      </c>
      <c r="D98" t="s">
        <v>610</v>
      </c>
      <c r="E98" t="s">
        <v>627</v>
      </c>
      <c r="F98" t="s">
        <v>724</v>
      </c>
      <c r="G98" t="s">
        <v>1759</v>
      </c>
      <c r="H98" t="s">
        <v>1768</v>
      </c>
      <c r="I98" t="s">
        <v>1775</v>
      </c>
      <c r="J98" t="s">
        <v>1778</v>
      </c>
      <c r="K98">
        <v>1</v>
      </c>
      <c r="L98" s="2">
        <v>1319</v>
      </c>
      <c r="M98">
        <v>0.05</v>
      </c>
      <c r="N98" s="2">
        <v>745.36</v>
      </c>
      <c r="O98" s="2">
        <v>1253.05</v>
      </c>
      <c r="P98" s="2">
        <v>745.36</v>
      </c>
      <c r="Q98" s="2">
        <v>507.69</v>
      </c>
      <c r="R98">
        <v>0</v>
      </c>
      <c r="S98" s="2" t="str">
        <f>TEXT(data[[#This Row],[Date]],"mmm yyyy")</f>
        <v>Jul 2024</v>
      </c>
      <c r="T98" s="8">
        <f>data[[#This Row],[Profit]]/data[[#This Row],[Revenue]]</f>
        <v>0.40516340130082601</v>
      </c>
    </row>
    <row r="99" spans="1:20" x14ac:dyDescent="0.3">
      <c r="A99">
        <v>10097</v>
      </c>
      <c r="B99" t="s">
        <v>110</v>
      </c>
      <c r="C99" t="s">
        <v>608</v>
      </c>
      <c r="D99" t="s">
        <v>615</v>
      </c>
      <c r="E99" t="s">
        <v>628</v>
      </c>
      <c r="F99" t="s">
        <v>725</v>
      </c>
      <c r="G99" t="s">
        <v>1762</v>
      </c>
      <c r="H99" t="s">
        <v>1770</v>
      </c>
      <c r="I99" t="s">
        <v>1773</v>
      </c>
      <c r="J99" t="s">
        <v>1779</v>
      </c>
      <c r="K99">
        <v>16</v>
      </c>
      <c r="L99" s="2">
        <v>949</v>
      </c>
      <c r="M99">
        <v>0.15</v>
      </c>
      <c r="N99" s="2">
        <v>673.72</v>
      </c>
      <c r="O99" s="2">
        <v>12906.4</v>
      </c>
      <c r="P99" s="2">
        <v>10779.52</v>
      </c>
      <c r="Q99" s="2">
        <v>2126.88</v>
      </c>
      <c r="R99">
        <v>0</v>
      </c>
      <c r="S99" s="2" t="str">
        <f>TEXT(data[[#This Row],[Date]],"mmm yyyy")</f>
        <v>Jan 2024</v>
      </c>
      <c r="T99" s="8">
        <f>data[[#This Row],[Profit]]/data[[#This Row],[Revenue]]</f>
        <v>0.16479266100539269</v>
      </c>
    </row>
    <row r="100" spans="1:20" x14ac:dyDescent="0.3">
      <c r="A100">
        <v>10098</v>
      </c>
      <c r="B100" t="s">
        <v>111</v>
      </c>
      <c r="C100" t="s">
        <v>609</v>
      </c>
      <c r="D100" t="s">
        <v>613</v>
      </c>
      <c r="E100" t="s">
        <v>627</v>
      </c>
      <c r="F100" t="s">
        <v>726</v>
      </c>
      <c r="G100" t="s">
        <v>1760</v>
      </c>
      <c r="H100" t="s">
        <v>1771</v>
      </c>
      <c r="I100" t="s">
        <v>1773</v>
      </c>
      <c r="J100" t="s">
        <v>1777</v>
      </c>
      <c r="K100">
        <v>1</v>
      </c>
      <c r="L100" s="2">
        <v>316</v>
      </c>
      <c r="M100">
        <v>0</v>
      </c>
      <c r="N100" s="2">
        <v>166.43</v>
      </c>
      <c r="O100" s="2">
        <v>316</v>
      </c>
      <c r="P100" s="2">
        <v>166.43</v>
      </c>
      <c r="Q100" s="2">
        <v>149.57</v>
      </c>
      <c r="R100">
        <v>0</v>
      </c>
      <c r="S100" s="2" t="str">
        <f>TEXT(data[[#This Row],[Date]],"mmm yyyy")</f>
        <v>Dec 2024</v>
      </c>
      <c r="T100" s="8">
        <f>data[[#This Row],[Profit]]/data[[#This Row],[Revenue]]</f>
        <v>0.47332278481012657</v>
      </c>
    </row>
    <row r="101" spans="1:20" x14ac:dyDescent="0.3">
      <c r="A101">
        <v>10099</v>
      </c>
      <c r="B101" t="s">
        <v>103</v>
      </c>
      <c r="C101" t="s">
        <v>609</v>
      </c>
      <c r="D101" t="s">
        <v>622</v>
      </c>
      <c r="E101" t="s">
        <v>626</v>
      </c>
      <c r="F101" t="s">
        <v>727</v>
      </c>
      <c r="G101" t="s">
        <v>1761</v>
      </c>
      <c r="H101" t="s">
        <v>1770</v>
      </c>
      <c r="I101" t="s">
        <v>1773</v>
      </c>
      <c r="J101" t="s">
        <v>1777</v>
      </c>
      <c r="K101">
        <v>3</v>
      </c>
      <c r="L101" s="2">
        <v>447</v>
      </c>
      <c r="M101">
        <v>0.2</v>
      </c>
      <c r="N101" s="2">
        <v>308.63</v>
      </c>
      <c r="O101" s="2">
        <v>1072.8</v>
      </c>
      <c r="P101" s="2">
        <v>925.89</v>
      </c>
      <c r="Q101" s="2">
        <v>146.91</v>
      </c>
      <c r="R101">
        <v>0</v>
      </c>
      <c r="S101" s="2" t="str">
        <f>TEXT(data[[#This Row],[Date]],"mmm yyyy")</f>
        <v>Jun 2025</v>
      </c>
      <c r="T101" s="8">
        <f>data[[#This Row],[Profit]]/data[[#This Row],[Revenue]]</f>
        <v>0.13694071588366891</v>
      </c>
    </row>
    <row r="102" spans="1:20" x14ac:dyDescent="0.3">
      <c r="A102">
        <v>10100</v>
      </c>
      <c r="B102" t="s">
        <v>39</v>
      </c>
      <c r="C102" t="s">
        <v>608</v>
      </c>
      <c r="D102" t="s">
        <v>614</v>
      </c>
      <c r="E102" t="s">
        <v>627</v>
      </c>
      <c r="F102" t="s">
        <v>728</v>
      </c>
      <c r="G102" t="s">
        <v>1766</v>
      </c>
      <c r="H102" t="s">
        <v>1768</v>
      </c>
      <c r="I102" t="s">
        <v>1775</v>
      </c>
      <c r="J102" t="s">
        <v>1779</v>
      </c>
      <c r="K102">
        <v>3</v>
      </c>
      <c r="L102" s="2">
        <v>835</v>
      </c>
      <c r="M102">
        <v>0.1</v>
      </c>
      <c r="N102" s="2">
        <v>517.1</v>
      </c>
      <c r="O102" s="2">
        <v>2254.5</v>
      </c>
      <c r="P102" s="2">
        <v>1551.3</v>
      </c>
      <c r="Q102" s="2">
        <v>703.2</v>
      </c>
      <c r="R102">
        <v>0</v>
      </c>
      <c r="S102" s="2" t="str">
        <f>TEXT(data[[#This Row],[Date]],"mmm yyyy")</f>
        <v>Apr 2024</v>
      </c>
      <c r="T102" s="8">
        <f>data[[#This Row],[Profit]]/data[[#This Row],[Revenue]]</f>
        <v>0.31190951430472391</v>
      </c>
    </row>
    <row r="103" spans="1:20" x14ac:dyDescent="0.3">
      <c r="A103">
        <v>10101</v>
      </c>
      <c r="B103" t="s">
        <v>112</v>
      </c>
      <c r="C103" t="s">
        <v>606</v>
      </c>
      <c r="D103" t="s">
        <v>620</v>
      </c>
      <c r="E103" t="s">
        <v>628</v>
      </c>
      <c r="F103" t="s">
        <v>729</v>
      </c>
      <c r="G103" t="s">
        <v>1760</v>
      </c>
      <c r="H103" t="s">
        <v>1772</v>
      </c>
      <c r="I103" t="s">
        <v>1775</v>
      </c>
      <c r="J103" t="s">
        <v>1776</v>
      </c>
      <c r="K103">
        <v>10</v>
      </c>
      <c r="L103" s="2">
        <v>762</v>
      </c>
      <c r="M103">
        <v>0</v>
      </c>
      <c r="N103" s="2">
        <v>517.35</v>
      </c>
      <c r="O103" s="2">
        <v>7620</v>
      </c>
      <c r="P103" s="2">
        <v>5173.5</v>
      </c>
      <c r="Q103" s="2">
        <v>2446.5</v>
      </c>
      <c r="R103">
        <v>0</v>
      </c>
      <c r="S103" s="2" t="str">
        <f>TEXT(data[[#This Row],[Date]],"mmm yyyy")</f>
        <v>Nov 2024</v>
      </c>
      <c r="T103" s="8">
        <f>data[[#This Row],[Profit]]/data[[#This Row],[Revenue]]</f>
        <v>0.32106299212598427</v>
      </c>
    </row>
    <row r="104" spans="1:20" x14ac:dyDescent="0.3">
      <c r="A104">
        <v>10102</v>
      </c>
      <c r="B104" t="s">
        <v>113</v>
      </c>
      <c r="C104" t="s">
        <v>607</v>
      </c>
      <c r="D104" t="s">
        <v>624</v>
      </c>
      <c r="E104" t="s">
        <v>629</v>
      </c>
      <c r="F104" t="s">
        <v>730</v>
      </c>
      <c r="G104" t="s">
        <v>1763</v>
      </c>
      <c r="H104" t="s">
        <v>1772</v>
      </c>
      <c r="I104" t="s">
        <v>1773</v>
      </c>
      <c r="J104" t="s">
        <v>1777</v>
      </c>
      <c r="K104">
        <v>2</v>
      </c>
      <c r="L104" s="2">
        <v>980</v>
      </c>
      <c r="M104">
        <v>0.2</v>
      </c>
      <c r="N104" s="2">
        <v>628.69000000000005</v>
      </c>
      <c r="O104" s="2">
        <v>1568</v>
      </c>
      <c r="P104" s="2">
        <v>1257.3800000000001</v>
      </c>
      <c r="Q104" s="2">
        <v>310.62</v>
      </c>
      <c r="R104">
        <v>0</v>
      </c>
      <c r="S104" s="2" t="str">
        <f>TEXT(data[[#This Row],[Date]],"mmm yyyy")</f>
        <v>Aug 2025</v>
      </c>
      <c r="T104" s="8">
        <f>data[[#This Row],[Profit]]/data[[#This Row],[Revenue]]</f>
        <v>0.19809948979591838</v>
      </c>
    </row>
    <row r="105" spans="1:20" x14ac:dyDescent="0.3">
      <c r="A105">
        <v>10103</v>
      </c>
      <c r="B105" t="s">
        <v>114</v>
      </c>
      <c r="C105" t="s">
        <v>606</v>
      </c>
      <c r="D105" t="s">
        <v>620</v>
      </c>
      <c r="E105" t="s">
        <v>629</v>
      </c>
      <c r="F105" t="s">
        <v>731</v>
      </c>
      <c r="G105" t="s">
        <v>1762</v>
      </c>
      <c r="H105" t="s">
        <v>1768</v>
      </c>
      <c r="I105" t="s">
        <v>1774</v>
      </c>
      <c r="J105" t="s">
        <v>1777</v>
      </c>
      <c r="K105">
        <v>16</v>
      </c>
      <c r="L105" s="2">
        <v>1156</v>
      </c>
      <c r="M105">
        <v>0</v>
      </c>
      <c r="N105" s="2">
        <v>720.04</v>
      </c>
      <c r="O105" s="2">
        <v>18496</v>
      </c>
      <c r="P105" s="2">
        <v>11520.64</v>
      </c>
      <c r="Q105" s="2">
        <v>6975.36</v>
      </c>
      <c r="R105">
        <v>0</v>
      </c>
      <c r="S105" s="2" t="str">
        <f>TEXT(data[[#This Row],[Date]],"mmm yyyy")</f>
        <v>May 2025</v>
      </c>
      <c r="T105" s="8">
        <f>data[[#This Row],[Profit]]/data[[#This Row],[Revenue]]</f>
        <v>0.37712802768166087</v>
      </c>
    </row>
    <row r="106" spans="1:20" x14ac:dyDescent="0.3">
      <c r="A106">
        <v>10104</v>
      </c>
      <c r="B106" t="s">
        <v>115</v>
      </c>
      <c r="C106" t="s">
        <v>606</v>
      </c>
      <c r="D106" t="s">
        <v>610</v>
      </c>
      <c r="E106" t="s">
        <v>626</v>
      </c>
      <c r="F106" t="s">
        <v>732</v>
      </c>
      <c r="G106" t="s">
        <v>1766</v>
      </c>
      <c r="H106" t="s">
        <v>1770</v>
      </c>
      <c r="I106" t="s">
        <v>1773</v>
      </c>
      <c r="J106" t="s">
        <v>1779</v>
      </c>
      <c r="K106">
        <v>16</v>
      </c>
      <c r="L106" s="2">
        <v>637</v>
      </c>
      <c r="M106">
        <v>0.05</v>
      </c>
      <c r="N106" s="2">
        <v>336.01</v>
      </c>
      <c r="O106" s="2">
        <v>9682.4</v>
      </c>
      <c r="P106" s="2">
        <v>5376.16</v>
      </c>
      <c r="Q106" s="2">
        <v>4306.24</v>
      </c>
      <c r="R106">
        <v>0</v>
      </c>
      <c r="S106" s="2" t="str">
        <f>TEXT(data[[#This Row],[Date]],"mmm yyyy")</f>
        <v>May 2025</v>
      </c>
      <c r="T106" s="8">
        <f>data[[#This Row],[Profit]]/data[[#This Row],[Revenue]]</f>
        <v>0.44474923572667935</v>
      </c>
    </row>
    <row r="107" spans="1:20" x14ac:dyDescent="0.3">
      <c r="A107">
        <v>10105</v>
      </c>
      <c r="B107" t="s">
        <v>61</v>
      </c>
      <c r="C107" t="s">
        <v>607</v>
      </c>
      <c r="D107" t="s">
        <v>624</v>
      </c>
      <c r="E107" t="s">
        <v>627</v>
      </c>
      <c r="F107" t="s">
        <v>733</v>
      </c>
      <c r="G107" t="s">
        <v>1759</v>
      </c>
      <c r="H107" t="s">
        <v>1767</v>
      </c>
      <c r="I107" t="s">
        <v>1775</v>
      </c>
      <c r="J107" t="s">
        <v>1777</v>
      </c>
      <c r="K107">
        <v>1</v>
      </c>
      <c r="L107" s="2">
        <v>245</v>
      </c>
      <c r="M107">
        <v>0.1</v>
      </c>
      <c r="N107" s="2">
        <v>135.12</v>
      </c>
      <c r="O107" s="2">
        <v>220.5</v>
      </c>
      <c r="P107" s="2">
        <v>135.12</v>
      </c>
      <c r="Q107" s="2">
        <v>85.38</v>
      </c>
      <c r="R107">
        <v>0</v>
      </c>
      <c r="S107" s="2" t="str">
        <f>TEXT(data[[#This Row],[Date]],"mmm yyyy")</f>
        <v>Mar 2025</v>
      </c>
      <c r="T107" s="8">
        <f>data[[#This Row],[Profit]]/data[[#This Row],[Revenue]]</f>
        <v>0.38721088435374146</v>
      </c>
    </row>
    <row r="108" spans="1:20" x14ac:dyDescent="0.3">
      <c r="A108">
        <v>10106</v>
      </c>
      <c r="B108" t="s">
        <v>116</v>
      </c>
      <c r="C108" t="s">
        <v>609</v>
      </c>
      <c r="D108" t="s">
        <v>623</v>
      </c>
      <c r="E108" t="s">
        <v>629</v>
      </c>
      <c r="F108" t="s">
        <v>734</v>
      </c>
      <c r="G108" t="s">
        <v>1764</v>
      </c>
      <c r="H108" t="s">
        <v>1769</v>
      </c>
      <c r="I108" t="s">
        <v>1775</v>
      </c>
      <c r="J108" t="s">
        <v>1778</v>
      </c>
      <c r="K108">
        <v>17</v>
      </c>
      <c r="L108" s="2">
        <v>317</v>
      </c>
      <c r="M108">
        <v>0.05</v>
      </c>
      <c r="N108" s="2">
        <v>227.29</v>
      </c>
      <c r="O108" s="2">
        <v>5119.55</v>
      </c>
      <c r="P108" s="2">
        <v>3863.93</v>
      </c>
      <c r="Q108" s="2">
        <v>1255.6199999999999</v>
      </c>
      <c r="R108">
        <v>1</v>
      </c>
      <c r="S108" s="2" t="str">
        <f>TEXT(data[[#This Row],[Date]],"mmm yyyy")</f>
        <v>Nov 2025</v>
      </c>
      <c r="T108" s="8">
        <f>data[[#This Row],[Profit]]/data[[#This Row],[Revenue]]</f>
        <v>0.24525983729038683</v>
      </c>
    </row>
    <row r="109" spans="1:20" x14ac:dyDescent="0.3">
      <c r="A109">
        <v>10107</v>
      </c>
      <c r="B109" t="s">
        <v>117</v>
      </c>
      <c r="C109" t="s">
        <v>608</v>
      </c>
      <c r="D109" t="s">
        <v>618</v>
      </c>
      <c r="E109" t="s">
        <v>627</v>
      </c>
      <c r="F109" t="s">
        <v>735</v>
      </c>
      <c r="G109" t="s">
        <v>1759</v>
      </c>
      <c r="H109" t="s">
        <v>1772</v>
      </c>
      <c r="I109" t="s">
        <v>1774</v>
      </c>
      <c r="J109" t="s">
        <v>1778</v>
      </c>
      <c r="K109">
        <v>8</v>
      </c>
      <c r="L109" s="2">
        <v>973</v>
      </c>
      <c r="M109">
        <v>0.2</v>
      </c>
      <c r="N109" s="2">
        <v>533.1</v>
      </c>
      <c r="O109" s="2">
        <v>6227.2</v>
      </c>
      <c r="P109" s="2">
        <v>4264.8</v>
      </c>
      <c r="Q109" s="2">
        <v>1962.4</v>
      </c>
      <c r="R109">
        <v>0</v>
      </c>
      <c r="S109" s="2" t="str">
        <f>TEXT(data[[#This Row],[Date]],"mmm yyyy")</f>
        <v>Dec 2025</v>
      </c>
      <c r="T109" s="8">
        <f>data[[#This Row],[Profit]]/data[[#This Row],[Revenue]]</f>
        <v>0.31513360739979446</v>
      </c>
    </row>
    <row r="110" spans="1:20" x14ac:dyDescent="0.3">
      <c r="A110">
        <v>10108</v>
      </c>
      <c r="B110" t="s">
        <v>118</v>
      </c>
      <c r="C110" t="s">
        <v>606</v>
      </c>
      <c r="D110" t="s">
        <v>610</v>
      </c>
      <c r="E110" t="s">
        <v>626</v>
      </c>
      <c r="F110" t="s">
        <v>736</v>
      </c>
      <c r="G110" t="s">
        <v>1763</v>
      </c>
      <c r="H110" t="s">
        <v>1771</v>
      </c>
      <c r="I110" t="s">
        <v>1773</v>
      </c>
      <c r="J110" t="s">
        <v>1777</v>
      </c>
      <c r="K110">
        <v>7</v>
      </c>
      <c r="L110" s="2">
        <v>467</v>
      </c>
      <c r="M110">
        <v>0.1</v>
      </c>
      <c r="N110" s="2">
        <v>347.35</v>
      </c>
      <c r="O110" s="2">
        <v>2942.1</v>
      </c>
      <c r="P110" s="2">
        <v>2431.4499999999998</v>
      </c>
      <c r="Q110" s="2">
        <v>510.65</v>
      </c>
      <c r="R110">
        <v>0</v>
      </c>
      <c r="S110" s="2" t="str">
        <f>TEXT(data[[#This Row],[Date]],"mmm yyyy")</f>
        <v>Jun 2024</v>
      </c>
      <c r="T110" s="8">
        <f>data[[#This Row],[Profit]]/data[[#This Row],[Revenue]]</f>
        <v>0.17356650011896263</v>
      </c>
    </row>
    <row r="111" spans="1:20" x14ac:dyDescent="0.3">
      <c r="A111">
        <v>10109</v>
      </c>
      <c r="B111" t="s">
        <v>119</v>
      </c>
      <c r="C111" t="s">
        <v>606</v>
      </c>
      <c r="D111" t="s">
        <v>625</v>
      </c>
      <c r="E111" t="s">
        <v>627</v>
      </c>
      <c r="F111" t="s">
        <v>737</v>
      </c>
      <c r="G111" t="s">
        <v>1764</v>
      </c>
      <c r="H111" t="s">
        <v>1767</v>
      </c>
      <c r="I111" t="s">
        <v>1773</v>
      </c>
      <c r="J111" t="s">
        <v>1776</v>
      </c>
      <c r="K111">
        <v>7</v>
      </c>
      <c r="L111" s="2">
        <v>150</v>
      </c>
      <c r="M111">
        <v>0</v>
      </c>
      <c r="N111" s="2">
        <v>98.92</v>
      </c>
      <c r="O111" s="2">
        <v>1050</v>
      </c>
      <c r="P111" s="2">
        <v>692.44</v>
      </c>
      <c r="Q111" s="2">
        <v>357.56</v>
      </c>
      <c r="R111">
        <v>0</v>
      </c>
      <c r="S111" s="2" t="str">
        <f>TEXT(data[[#This Row],[Date]],"mmm yyyy")</f>
        <v>Oct 2024</v>
      </c>
      <c r="T111" s="8">
        <f>data[[#This Row],[Profit]]/data[[#This Row],[Revenue]]</f>
        <v>0.34053333333333335</v>
      </c>
    </row>
    <row r="112" spans="1:20" x14ac:dyDescent="0.3">
      <c r="A112">
        <v>10110</v>
      </c>
      <c r="B112" t="s">
        <v>77</v>
      </c>
      <c r="C112" t="s">
        <v>607</v>
      </c>
      <c r="D112" t="s">
        <v>611</v>
      </c>
      <c r="E112" t="s">
        <v>628</v>
      </c>
      <c r="F112" t="s">
        <v>738</v>
      </c>
      <c r="G112" t="s">
        <v>1759</v>
      </c>
      <c r="H112" t="s">
        <v>1770</v>
      </c>
      <c r="I112" t="s">
        <v>1775</v>
      </c>
      <c r="J112" t="s">
        <v>1779</v>
      </c>
      <c r="K112">
        <v>17</v>
      </c>
      <c r="L112" s="2">
        <v>627</v>
      </c>
      <c r="M112">
        <v>0.1</v>
      </c>
      <c r="N112" s="2">
        <v>386.12</v>
      </c>
      <c r="O112" s="2">
        <v>9593.1</v>
      </c>
      <c r="P112" s="2">
        <v>6564.04</v>
      </c>
      <c r="Q112" s="2">
        <v>3029.06</v>
      </c>
      <c r="R112">
        <v>0</v>
      </c>
      <c r="S112" s="2" t="str">
        <f>TEXT(data[[#This Row],[Date]],"mmm yyyy")</f>
        <v>Sep 2024</v>
      </c>
      <c r="T112" s="8">
        <f>data[[#This Row],[Profit]]/data[[#This Row],[Revenue]]</f>
        <v>0.31575403154350523</v>
      </c>
    </row>
    <row r="113" spans="1:20" x14ac:dyDescent="0.3">
      <c r="A113">
        <v>10111</v>
      </c>
      <c r="B113" t="s">
        <v>47</v>
      </c>
      <c r="C113" t="s">
        <v>608</v>
      </c>
      <c r="D113" t="s">
        <v>618</v>
      </c>
      <c r="E113" t="s">
        <v>626</v>
      </c>
      <c r="F113" t="s">
        <v>739</v>
      </c>
      <c r="G113" t="s">
        <v>1759</v>
      </c>
      <c r="H113" t="s">
        <v>1770</v>
      </c>
      <c r="I113" t="s">
        <v>1775</v>
      </c>
      <c r="J113" t="s">
        <v>1777</v>
      </c>
      <c r="K113">
        <v>4</v>
      </c>
      <c r="L113" s="2">
        <v>585</v>
      </c>
      <c r="M113">
        <v>0.15</v>
      </c>
      <c r="N113" s="2">
        <v>355.76</v>
      </c>
      <c r="O113" s="2">
        <v>1989</v>
      </c>
      <c r="P113" s="2">
        <v>1423.04</v>
      </c>
      <c r="Q113" s="2">
        <v>565.96</v>
      </c>
      <c r="R113">
        <v>0</v>
      </c>
      <c r="S113" s="2" t="str">
        <f>TEXT(data[[#This Row],[Date]],"mmm yyyy")</f>
        <v>Oct 2025</v>
      </c>
      <c r="T113" s="8">
        <f>data[[#This Row],[Profit]]/data[[#This Row],[Revenue]]</f>
        <v>0.28454499748617396</v>
      </c>
    </row>
    <row r="114" spans="1:20" x14ac:dyDescent="0.3">
      <c r="A114">
        <v>10112</v>
      </c>
      <c r="B114" t="s">
        <v>120</v>
      </c>
      <c r="C114" t="s">
        <v>606</v>
      </c>
      <c r="D114" t="s">
        <v>616</v>
      </c>
      <c r="E114" t="s">
        <v>629</v>
      </c>
      <c r="F114" t="s">
        <v>740</v>
      </c>
      <c r="G114" t="s">
        <v>1763</v>
      </c>
      <c r="H114" t="s">
        <v>1767</v>
      </c>
      <c r="I114" t="s">
        <v>1775</v>
      </c>
      <c r="J114" t="s">
        <v>1776</v>
      </c>
      <c r="K114">
        <v>1</v>
      </c>
      <c r="L114" s="2">
        <v>196</v>
      </c>
      <c r="M114">
        <v>0.2</v>
      </c>
      <c r="N114" s="2">
        <v>140.07</v>
      </c>
      <c r="O114" s="2">
        <v>156.80000000000001</v>
      </c>
      <c r="P114" s="2">
        <v>140.07</v>
      </c>
      <c r="Q114" s="2">
        <v>16.73</v>
      </c>
      <c r="R114">
        <v>0</v>
      </c>
      <c r="S114" s="2" t="str">
        <f>TEXT(data[[#This Row],[Date]],"mmm yyyy")</f>
        <v>Nov 2025</v>
      </c>
      <c r="T114" s="8">
        <f>data[[#This Row],[Profit]]/data[[#This Row],[Revenue]]</f>
        <v>0.10669642857142857</v>
      </c>
    </row>
    <row r="115" spans="1:20" x14ac:dyDescent="0.3">
      <c r="A115">
        <v>10113</v>
      </c>
      <c r="B115" t="s">
        <v>113</v>
      </c>
      <c r="C115" t="s">
        <v>609</v>
      </c>
      <c r="D115" t="s">
        <v>623</v>
      </c>
      <c r="E115" t="s">
        <v>628</v>
      </c>
      <c r="F115" t="s">
        <v>741</v>
      </c>
      <c r="G115" t="s">
        <v>1759</v>
      </c>
      <c r="H115" t="s">
        <v>1769</v>
      </c>
      <c r="I115" t="s">
        <v>1774</v>
      </c>
      <c r="J115" t="s">
        <v>1779</v>
      </c>
      <c r="K115">
        <v>6</v>
      </c>
      <c r="L115" s="2">
        <v>261</v>
      </c>
      <c r="M115">
        <v>0.05</v>
      </c>
      <c r="N115" s="2">
        <v>164.38</v>
      </c>
      <c r="O115" s="2">
        <v>1487.7</v>
      </c>
      <c r="P115" s="2">
        <v>986.28</v>
      </c>
      <c r="Q115" s="2">
        <v>501.42</v>
      </c>
      <c r="R115">
        <v>0</v>
      </c>
      <c r="S115" s="2" t="str">
        <f>TEXT(data[[#This Row],[Date]],"mmm yyyy")</f>
        <v>Aug 2025</v>
      </c>
      <c r="T115" s="8">
        <f>data[[#This Row],[Profit]]/data[[#This Row],[Revenue]]</f>
        <v>0.33704375882234322</v>
      </c>
    </row>
    <row r="116" spans="1:20" x14ac:dyDescent="0.3">
      <c r="A116">
        <v>10114</v>
      </c>
      <c r="B116" t="s">
        <v>121</v>
      </c>
      <c r="C116" t="s">
        <v>609</v>
      </c>
      <c r="D116" t="s">
        <v>623</v>
      </c>
      <c r="E116" t="s">
        <v>626</v>
      </c>
      <c r="F116" t="s">
        <v>742</v>
      </c>
      <c r="G116" t="s">
        <v>1760</v>
      </c>
      <c r="H116" t="s">
        <v>1769</v>
      </c>
      <c r="I116" t="s">
        <v>1775</v>
      </c>
      <c r="J116" t="s">
        <v>1778</v>
      </c>
      <c r="K116">
        <v>14</v>
      </c>
      <c r="L116" s="2">
        <v>325</v>
      </c>
      <c r="M116">
        <v>0.15</v>
      </c>
      <c r="N116" s="2">
        <v>179.57</v>
      </c>
      <c r="O116" s="2">
        <v>3867.5</v>
      </c>
      <c r="P116" s="2">
        <v>2513.98</v>
      </c>
      <c r="Q116" s="2">
        <v>1353.52</v>
      </c>
      <c r="R116">
        <v>0</v>
      </c>
      <c r="S116" s="2" t="str">
        <f>TEXT(data[[#This Row],[Date]],"mmm yyyy")</f>
        <v>Feb 2025</v>
      </c>
      <c r="T116" s="8">
        <f>data[[#This Row],[Profit]]/data[[#This Row],[Revenue]]</f>
        <v>0.34997285067873302</v>
      </c>
    </row>
    <row r="117" spans="1:20" x14ac:dyDescent="0.3">
      <c r="A117">
        <v>10115</v>
      </c>
      <c r="B117" t="s">
        <v>122</v>
      </c>
      <c r="C117" t="s">
        <v>607</v>
      </c>
      <c r="D117" t="s">
        <v>611</v>
      </c>
      <c r="E117" t="s">
        <v>629</v>
      </c>
      <c r="F117" t="s">
        <v>743</v>
      </c>
      <c r="G117" t="s">
        <v>1759</v>
      </c>
      <c r="H117" t="s">
        <v>1768</v>
      </c>
      <c r="I117" t="s">
        <v>1775</v>
      </c>
      <c r="J117" t="s">
        <v>1779</v>
      </c>
      <c r="K117">
        <v>3</v>
      </c>
      <c r="L117" s="2">
        <v>813</v>
      </c>
      <c r="M117">
        <v>0.15</v>
      </c>
      <c r="N117" s="2">
        <v>592.55999999999995</v>
      </c>
      <c r="O117" s="2">
        <v>2073.15</v>
      </c>
      <c r="P117" s="2">
        <v>1777.68</v>
      </c>
      <c r="Q117" s="2">
        <v>295.47000000000003</v>
      </c>
      <c r="R117">
        <v>0</v>
      </c>
      <c r="S117" s="2" t="str">
        <f>TEXT(data[[#This Row],[Date]],"mmm yyyy")</f>
        <v>Aug 2025</v>
      </c>
      <c r="T117" s="8">
        <f>data[[#This Row],[Profit]]/data[[#This Row],[Revenue]]</f>
        <v>0.14252224875189928</v>
      </c>
    </row>
    <row r="118" spans="1:20" x14ac:dyDescent="0.3">
      <c r="A118">
        <v>10116</v>
      </c>
      <c r="B118" t="s">
        <v>123</v>
      </c>
      <c r="C118" t="s">
        <v>608</v>
      </c>
      <c r="D118" t="s">
        <v>615</v>
      </c>
      <c r="E118" t="s">
        <v>627</v>
      </c>
      <c r="F118" t="s">
        <v>744</v>
      </c>
      <c r="G118" t="s">
        <v>1759</v>
      </c>
      <c r="H118" t="s">
        <v>1767</v>
      </c>
      <c r="I118" t="s">
        <v>1773</v>
      </c>
      <c r="J118" t="s">
        <v>1778</v>
      </c>
      <c r="K118">
        <v>6</v>
      </c>
      <c r="L118" s="2">
        <v>134</v>
      </c>
      <c r="M118">
        <v>0.05</v>
      </c>
      <c r="N118" s="2">
        <v>98.14</v>
      </c>
      <c r="O118" s="2">
        <v>763.8</v>
      </c>
      <c r="P118" s="2">
        <v>588.84</v>
      </c>
      <c r="Q118" s="2">
        <v>174.96</v>
      </c>
      <c r="R118">
        <v>0</v>
      </c>
      <c r="S118" s="2" t="str">
        <f>TEXT(data[[#This Row],[Date]],"mmm yyyy")</f>
        <v>Oct 2025</v>
      </c>
      <c r="T118" s="8">
        <f>data[[#This Row],[Profit]]/data[[#This Row],[Revenue]]</f>
        <v>0.2290652003142184</v>
      </c>
    </row>
    <row r="119" spans="1:20" x14ac:dyDescent="0.3">
      <c r="A119">
        <v>10117</v>
      </c>
      <c r="B119" t="s">
        <v>124</v>
      </c>
      <c r="C119" t="s">
        <v>607</v>
      </c>
      <c r="D119" t="s">
        <v>611</v>
      </c>
      <c r="E119" t="s">
        <v>628</v>
      </c>
      <c r="F119" t="s">
        <v>745</v>
      </c>
      <c r="G119" t="s">
        <v>1763</v>
      </c>
      <c r="H119" t="s">
        <v>1772</v>
      </c>
      <c r="I119" t="s">
        <v>1774</v>
      </c>
      <c r="J119" t="s">
        <v>1777</v>
      </c>
      <c r="K119">
        <v>5</v>
      </c>
      <c r="L119" s="2">
        <v>1061</v>
      </c>
      <c r="M119">
        <v>0.15</v>
      </c>
      <c r="N119" s="2">
        <v>624.6</v>
      </c>
      <c r="O119" s="2">
        <v>4509.25</v>
      </c>
      <c r="P119" s="2">
        <v>3123</v>
      </c>
      <c r="Q119" s="2">
        <v>1386.25</v>
      </c>
      <c r="R119">
        <v>0</v>
      </c>
      <c r="S119" s="2" t="str">
        <f>TEXT(data[[#This Row],[Date]],"mmm yyyy")</f>
        <v>Sep 2024</v>
      </c>
      <c r="T119" s="8">
        <f>data[[#This Row],[Profit]]/data[[#This Row],[Revenue]]</f>
        <v>0.3074236292066308</v>
      </c>
    </row>
    <row r="120" spans="1:20" x14ac:dyDescent="0.3">
      <c r="A120">
        <v>10118</v>
      </c>
      <c r="B120" t="s">
        <v>125</v>
      </c>
      <c r="C120" t="s">
        <v>607</v>
      </c>
      <c r="D120" t="s">
        <v>624</v>
      </c>
      <c r="E120" t="s">
        <v>628</v>
      </c>
      <c r="F120" t="s">
        <v>746</v>
      </c>
      <c r="G120" t="s">
        <v>1761</v>
      </c>
      <c r="H120" t="s">
        <v>1770</v>
      </c>
      <c r="I120" t="s">
        <v>1774</v>
      </c>
      <c r="J120" t="s">
        <v>1778</v>
      </c>
      <c r="K120">
        <v>12</v>
      </c>
      <c r="L120" s="2">
        <v>687</v>
      </c>
      <c r="M120">
        <v>0.05</v>
      </c>
      <c r="N120" s="2">
        <v>455.89</v>
      </c>
      <c r="O120" s="2">
        <v>7831.8</v>
      </c>
      <c r="P120" s="2">
        <v>5470.68</v>
      </c>
      <c r="Q120" s="2">
        <v>2361.12</v>
      </c>
      <c r="R120">
        <v>0</v>
      </c>
      <c r="S120" s="2" t="str">
        <f>TEXT(data[[#This Row],[Date]],"mmm yyyy")</f>
        <v>May 2025</v>
      </c>
      <c r="T120" s="8">
        <f>data[[#This Row],[Profit]]/data[[#This Row],[Revenue]]</f>
        <v>0.30147858729793914</v>
      </c>
    </row>
    <row r="121" spans="1:20" x14ac:dyDescent="0.3">
      <c r="A121">
        <v>10119</v>
      </c>
      <c r="B121" t="s">
        <v>126</v>
      </c>
      <c r="C121" t="s">
        <v>608</v>
      </c>
      <c r="D121" t="s">
        <v>612</v>
      </c>
      <c r="E121" t="s">
        <v>629</v>
      </c>
      <c r="F121" t="s">
        <v>747</v>
      </c>
      <c r="G121" t="s">
        <v>1760</v>
      </c>
      <c r="H121" t="s">
        <v>1767</v>
      </c>
      <c r="I121" t="s">
        <v>1773</v>
      </c>
      <c r="J121" t="s">
        <v>1776</v>
      </c>
      <c r="K121">
        <v>3</v>
      </c>
      <c r="L121" s="2">
        <v>94</v>
      </c>
      <c r="M121">
        <v>0.2</v>
      </c>
      <c r="N121" s="2">
        <v>68.290000000000006</v>
      </c>
      <c r="O121" s="2">
        <v>225.6</v>
      </c>
      <c r="P121" s="2">
        <v>204.87</v>
      </c>
      <c r="Q121" s="2">
        <v>20.73</v>
      </c>
      <c r="R121">
        <v>0</v>
      </c>
      <c r="S121" s="2" t="str">
        <f>TEXT(data[[#This Row],[Date]],"mmm yyyy")</f>
        <v>Jun 2025</v>
      </c>
      <c r="T121" s="8">
        <f>data[[#This Row],[Profit]]/data[[#This Row],[Revenue]]</f>
        <v>9.188829787234043E-2</v>
      </c>
    </row>
    <row r="122" spans="1:20" x14ac:dyDescent="0.3">
      <c r="A122">
        <v>10120</v>
      </c>
      <c r="B122" t="s">
        <v>127</v>
      </c>
      <c r="C122" t="s">
        <v>606</v>
      </c>
      <c r="D122" t="s">
        <v>625</v>
      </c>
      <c r="E122" t="s">
        <v>629</v>
      </c>
      <c r="F122" t="s">
        <v>748</v>
      </c>
      <c r="G122" t="s">
        <v>1759</v>
      </c>
      <c r="H122" t="s">
        <v>1769</v>
      </c>
      <c r="I122" t="s">
        <v>1775</v>
      </c>
      <c r="J122" t="s">
        <v>1777</v>
      </c>
      <c r="K122">
        <v>19</v>
      </c>
      <c r="L122" s="2">
        <v>201</v>
      </c>
      <c r="M122">
        <v>0.05</v>
      </c>
      <c r="N122" s="2">
        <v>143.41999999999999</v>
      </c>
      <c r="O122" s="2">
        <v>3628.05</v>
      </c>
      <c r="P122" s="2">
        <v>2724.98</v>
      </c>
      <c r="Q122" s="2">
        <v>903.07</v>
      </c>
      <c r="R122">
        <v>0</v>
      </c>
      <c r="S122" s="2" t="str">
        <f>TEXT(data[[#This Row],[Date]],"mmm yyyy")</f>
        <v>Apr 2025</v>
      </c>
      <c r="T122" s="8">
        <f>data[[#This Row],[Profit]]/data[[#This Row],[Revenue]]</f>
        <v>0.2489133280963603</v>
      </c>
    </row>
    <row r="123" spans="1:20" x14ac:dyDescent="0.3">
      <c r="A123">
        <v>10121</v>
      </c>
      <c r="B123" t="s">
        <v>128</v>
      </c>
      <c r="C123" t="s">
        <v>609</v>
      </c>
      <c r="D123" t="s">
        <v>623</v>
      </c>
      <c r="E123" t="s">
        <v>626</v>
      </c>
      <c r="F123" t="s">
        <v>749</v>
      </c>
      <c r="G123" t="s">
        <v>1762</v>
      </c>
      <c r="H123" t="s">
        <v>1771</v>
      </c>
      <c r="I123" t="s">
        <v>1775</v>
      </c>
      <c r="J123" t="s">
        <v>1777</v>
      </c>
      <c r="K123">
        <v>7</v>
      </c>
      <c r="L123" s="2">
        <v>553</v>
      </c>
      <c r="M123">
        <v>0.2</v>
      </c>
      <c r="N123" s="2">
        <v>287.37</v>
      </c>
      <c r="O123" s="2">
        <v>3096.8</v>
      </c>
      <c r="P123" s="2">
        <v>2011.59</v>
      </c>
      <c r="Q123" s="2">
        <v>1085.21</v>
      </c>
      <c r="R123">
        <v>1</v>
      </c>
      <c r="S123" s="2" t="str">
        <f>TEXT(data[[#This Row],[Date]],"mmm yyyy")</f>
        <v>Nov 2025</v>
      </c>
      <c r="T123" s="8">
        <f>data[[#This Row],[Profit]]/data[[#This Row],[Revenue]]</f>
        <v>0.35042947558770343</v>
      </c>
    </row>
    <row r="124" spans="1:20" x14ac:dyDescent="0.3">
      <c r="A124">
        <v>10122</v>
      </c>
      <c r="B124" t="s">
        <v>129</v>
      </c>
      <c r="C124" t="s">
        <v>608</v>
      </c>
      <c r="D124" t="s">
        <v>615</v>
      </c>
      <c r="E124" t="s">
        <v>628</v>
      </c>
      <c r="F124" t="s">
        <v>750</v>
      </c>
      <c r="G124" t="s">
        <v>1764</v>
      </c>
      <c r="H124" t="s">
        <v>1767</v>
      </c>
      <c r="I124" t="s">
        <v>1773</v>
      </c>
      <c r="J124" t="s">
        <v>1776</v>
      </c>
      <c r="K124">
        <v>2</v>
      </c>
      <c r="L124" s="2">
        <v>222</v>
      </c>
      <c r="M124">
        <v>0.15</v>
      </c>
      <c r="N124" s="2">
        <v>136.91999999999999</v>
      </c>
      <c r="O124" s="2">
        <v>377.4</v>
      </c>
      <c r="P124" s="2">
        <v>273.83999999999997</v>
      </c>
      <c r="Q124" s="2">
        <v>103.56</v>
      </c>
      <c r="R124">
        <v>0</v>
      </c>
      <c r="S124" s="2" t="str">
        <f>TEXT(data[[#This Row],[Date]],"mmm yyyy")</f>
        <v>Dec 2025</v>
      </c>
      <c r="T124" s="8">
        <f>data[[#This Row],[Profit]]/data[[#This Row],[Revenue]]</f>
        <v>0.2744038155802862</v>
      </c>
    </row>
    <row r="125" spans="1:20" x14ac:dyDescent="0.3">
      <c r="A125">
        <v>10123</v>
      </c>
      <c r="B125" t="s">
        <v>130</v>
      </c>
      <c r="C125" t="s">
        <v>608</v>
      </c>
      <c r="D125" t="s">
        <v>612</v>
      </c>
      <c r="E125" t="s">
        <v>628</v>
      </c>
      <c r="F125" t="s">
        <v>751</v>
      </c>
      <c r="G125" t="s">
        <v>1761</v>
      </c>
      <c r="H125" t="s">
        <v>1767</v>
      </c>
      <c r="I125" t="s">
        <v>1773</v>
      </c>
      <c r="J125" t="s">
        <v>1778</v>
      </c>
      <c r="K125">
        <v>19</v>
      </c>
      <c r="L125" s="2">
        <v>258</v>
      </c>
      <c r="M125">
        <v>0.15</v>
      </c>
      <c r="N125" s="2">
        <v>171.91</v>
      </c>
      <c r="O125" s="2">
        <v>4166.7</v>
      </c>
      <c r="P125" s="2">
        <v>3266.29</v>
      </c>
      <c r="Q125" s="2">
        <v>900.41</v>
      </c>
      <c r="R125">
        <v>1</v>
      </c>
      <c r="S125" s="2" t="str">
        <f>TEXT(data[[#This Row],[Date]],"mmm yyyy")</f>
        <v>Jan 2025</v>
      </c>
      <c r="T125" s="8">
        <f>data[[#This Row],[Profit]]/data[[#This Row],[Revenue]]</f>
        <v>0.21609667122663018</v>
      </c>
    </row>
    <row r="126" spans="1:20" x14ac:dyDescent="0.3">
      <c r="A126">
        <v>10124</v>
      </c>
      <c r="B126" t="s">
        <v>131</v>
      </c>
      <c r="C126" t="s">
        <v>609</v>
      </c>
      <c r="D126" t="s">
        <v>622</v>
      </c>
      <c r="E126" t="s">
        <v>626</v>
      </c>
      <c r="F126" t="s">
        <v>752</v>
      </c>
      <c r="G126" t="s">
        <v>1763</v>
      </c>
      <c r="H126" t="s">
        <v>1769</v>
      </c>
      <c r="I126" t="s">
        <v>1774</v>
      </c>
      <c r="J126" t="s">
        <v>1777</v>
      </c>
      <c r="K126">
        <v>11</v>
      </c>
      <c r="L126" s="2">
        <v>173</v>
      </c>
      <c r="M126">
        <v>0</v>
      </c>
      <c r="N126" s="2">
        <v>108.58</v>
      </c>
      <c r="O126" s="2">
        <v>1903</v>
      </c>
      <c r="P126" s="2">
        <v>1194.3800000000001</v>
      </c>
      <c r="Q126" s="2">
        <v>708.62</v>
      </c>
      <c r="R126">
        <v>1</v>
      </c>
      <c r="S126" s="2" t="str">
        <f>TEXT(data[[#This Row],[Date]],"mmm yyyy")</f>
        <v>May 2024</v>
      </c>
      <c r="T126" s="8">
        <f>data[[#This Row],[Profit]]/data[[#This Row],[Revenue]]</f>
        <v>0.3723699421965318</v>
      </c>
    </row>
    <row r="127" spans="1:20" x14ac:dyDescent="0.3">
      <c r="A127">
        <v>10125</v>
      </c>
      <c r="B127" t="s">
        <v>132</v>
      </c>
      <c r="C127" t="s">
        <v>606</v>
      </c>
      <c r="D127" t="s">
        <v>620</v>
      </c>
      <c r="E127" t="s">
        <v>628</v>
      </c>
      <c r="F127" t="s">
        <v>680</v>
      </c>
      <c r="G127" t="s">
        <v>1763</v>
      </c>
      <c r="H127" t="s">
        <v>1770</v>
      </c>
      <c r="I127" t="s">
        <v>1775</v>
      </c>
      <c r="J127" t="s">
        <v>1776</v>
      </c>
      <c r="K127">
        <v>11</v>
      </c>
      <c r="L127" s="2">
        <v>774</v>
      </c>
      <c r="M127">
        <v>0.15</v>
      </c>
      <c r="N127" s="2">
        <v>537.64</v>
      </c>
      <c r="O127" s="2">
        <v>7236.9</v>
      </c>
      <c r="P127" s="2">
        <v>5914.04</v>
      </c>
      <c r="Q127" s="2">
        <v>1322.86</v>
      </c>
      <c r="R127">
        <v>0</v>
      </c>
      <c r="S127" s="2" t="str">
        <f>TEXT(data[[#This Row],[Date]],"mmm yyyy")</f>
        <v>Oct 2024</v>
      </c>
      <c r="T127" s="8">
        <f>data[[#This Row],[Profit]]/data[[#This Row],[Revenue]]</f>
        <v>0.18279373765009879</v>
      </c>
    </row>
    <row r="128" spans="1:20" x14ac:dyDescent="0.3">
      <c r="A128">
        <v>10126</v>
      </c>
      <c r="B128" t="s">
        <v>133</v>
      </c>
      <c r="C128" t="s">
        <v>606</v>
      </c>
      <c r="D128" t="s">
        <v>625</v>
      </c>
      <c r="E128" t="s">
        <v>629</v>
      </c>
      <c r="F128" t="s">
        <v>753</v>
      </c>
      <c r="G128" t="s">
        <v>1764</v>
      </c>
      <c r="H128" t="s">
        <v>1772</v>
      </c>
      <c r="I128" t="s">
        <v>1773</v>
      </c>
      <c r="J128" t="s">
        <v>1778</v>
      </c>
      <c r="K128">
        <v>13</v>
      </c>
      <c r="L128" s="2">
        <v>1005</v>
      </c>
      <c r="M128">
        <v>0.1</v>
      </c>
      <c r="N128" s="2">
        <v>629.07000000000005</v>
      </c>
      <c r="O128" s="2">
        <v>11758.5</v>
      </c>
      <c r="P128" s="2">
        <v>8177.91</v>
      </c>
      <c r="Q128" s="2">
        <v>3580.59</v>
      </c>
      <c r="R128">
        <v>0</v>
      </c>
      <c r="S128" s="2" t="str">
        <f>TEXT(data[[#This Row],[Date]],"mmm yyyy")</f>
        <v>Jun 2025</v>
      </c>
      <c r="T128" s="8">
        <f>data[[#This Row],[Profit]]/data[[#This Row],[Revenue]]</f>
        <v>0.30451077943615257</v>
      </c>
    </row>
    <row r="129" spans="1:20" x14ac:dyDescent="0.3">
      <c r="A129">
        <v>10127</v>
      </c>
      <c r="B129" t="s">
        <v>134</v>
      </c>
      <c r="C129" t="s">
        <v>608</v>
      </c>
      <c r="D129" t="s">
        <v>612</v>
      </c>
      <c r="E129" t="s">
        <v>628</v>
      </c>
      <c r="F129" t="s">
        <v>754</v>
      </c>
      <c r="G129" t="s">
        <v>1760</v>
      </c>
      <c r="H129" t="s">
        <v>1770</v>
      </c>
      <c r="I129" t="s">
        <v>1775</v>
      </c>
      <c r="J129" t="s">
        <v>1778</v>
      </c>
      <c r="K129">
        <v>5</v>
      </c>
      <c r="L129" s="2">
        <v>706</v>
      </c>
      <c r="M129">
        <v>0.2</v>
      </c>
      <c r="N129" s="2">
        <v>524.69000000000005</v>
      </c>
      <c r="O129" s="2">
        <v>2824</v>
      </c>
      <c r="P129" s="2">
        <v>2623.45</v>
      </c>
      <c r="Q129" s="2">
        <v>200.55</v>
      </c>
      <c r="R129">
        <v>0</v>
      </c>
      <c r="S129" s="2" t="str">
        <f>TEXT(data[[#This Row],[Date]],"mmm yyyy")</f>
        <v>Feb 2024</v>
      </c>
      <c r="T129" s="8">
        <f>data[[#This Row],[Profit]]/data[[#This Row],[Revenue]]</f>
        <v>7.1016288951841366E-2</v>
      </c>
    </row>
    <row r="130" spans="1:20" x14ac:dyDescent="0.3">
      <c r="A130">
        <v>10128</v>
      </c>
      <c r="B130" t="s">
        <v>135</v>
      </c>
      <c r="C130" t="s">
        <v>609</v>
      </c>
      <c r="D130" t="s">
        <v>622</v>
      </c>
      <c r="E130" t="s">
        <v>628</v>
      </c>
      <c r="F130" t="s">
        <v>755</v>
      </c>
      <c r="G130" t="s">
        <v>1761</v>
      </c>
      <c r="H130" t="s">
        <v>1768</v>
      </c>
      <c r="I130" t="s">
        <v>1773</v>
      </c>
      <c r="J130" t="s">
        <v>1776</v>
      </c>
      <c r="K130">
        <v>16</v>
      </c>
      <c r="L130" s="2">
        <v>994</v>
      </c>
      <c r="M130">
        <v>0.2</v>
      </c>
      <c r="N130" s="2">
        <v>687.35</v>
      </c>
      <c r="O130" s="2">
        <v>12723.2</v>
      </c>
      <c r="P130" s="2">
        <v>10997.6</v>
      </c>
      <c r="Q130" s="2">
        <v>1725.6</v>
      </c>
      <c r="R130">
        <v>0</v>
      </c>
      <c r="S130" s="2" t="str">
        <f>TEXT(data[[#This Row],[Date]],"mmm yyyy")</f>
        <v>May 2025</v>
      </c>
      <c r="T130" s="8">
        <f>data[[#This Row],[Profit]]/data[[#This Row],[Revenue]]</f>
        <v>0.13562625754527161</v>
      </c>
    </row>
    <row r="131" spans="1:20" x14ac:dyDescent="0.3">
      <c r="A131">
        <v>10129</v>
      </c>
      <c r="B131" t="s">
        <v>136</v>
      </c>
      <c r="C131" t="s">
        <v>607</v>
      </c>
      <c r="D131" t="s">
        <v>621</v>
      </c>
      <c r="E131" t="s">
        <v>627</v>
      </c>
      <c r="F131" t="s">
        <v>756</v>
      </c>
      <c r="G131" t="s">
        <v>1762</v>
      </c>
      <c r="H131" t="s">
        <v>1768</v>
      </c>
      <c r="I131" t="s">
        <v>1775</v>
      </c>
      <c r="J131" t="s">
        <v>1777</v>
      </c>
      <c r="K131">
        <v>2</v>
      </c>
      <c r="L131" s="2">
        <v>985</v>
      </c>
      <c r="M131">
        <v>0.15</v>
      </c>
      <c r="N131" s="2">
        <v>683.23</v>
      </c>
      <c r="O131" s="2">
        <v>1674.5</v>
      </c>
      <c r="P131" s="2">
        <v>1366.46</v>
      </c>
      <c r="Q131" s="2">
        <v>308.04000000000002</v>
      </c>
      <c r="R131">
        <v>0</v>
      </c>
      <c r="S131" s="2" t="str">
        <f>TEXT(data[[#This Row],[Date]],"mmm yyyy")</f>
        <v>Jan 2025</v>
      </c>
      <c r="T131" s="8">
        <f>data[[#This Row],[Profit]]/data[[#This Row],[Revenue]]</f>
        <v>0.18395939086294416</v>
      </c>
    </row>
    <row r="132" spans="1:20" x14ac:dyDescent="0.3">
      <c r="A132">
        <v>10130</v>
      </c>
      <c r="B132" t="s">
        <v>137</v>
      </c>
      <c r="C132" t="s">
        <v>607</v>
      </c>
      <c r="D132" t="s">
        <v>624</v>
      </c>
      <c r="E132" t="s">
        <v>626</v>
      </c>
      <c r="F132" t="s">
        <v>757</v>
      </c>
      <c r="G132" t="s">
        <v>1763</v>
      </c>
      <c r="H132" t="s">
        <v>1772</v>
      </c>
      <c r="I132" t="s">
        <v>1774</v>
      </c>
      <c r="J132" t="s">
        <v>1779</v>
      </c>
      <c r="K132">
        <v>14</v>
      </c>
      <c r="L132" s="2">
        <v>520</v>
      </c>
      <c r="M132">
        <v>0.2</v>
      </c>
      <c r="N132" s="2">
        <v>343.43</v>
      </c>
      <c r="O132" s="2">
        <v>5824</v>
      </c>
      <c r="P132" s="2">
        <v>4808.0200000000004</v>
      </c>
      <c r="Q132" s="2">
        <v>1015.98</v>
      </c>
      <c r="R132">
        <v>0</v>
      </c>
      <c r="S132" s="2" t="str">
        <f>TEXT(data[[#This Row],[Date]],"mmm yyyy")</f>
        <v>May 2025</v>
      </c>
      <c r="T132" s="8">
        <f>data[[#This Row],[Profit]]/data[[#This Row],[Revenue]]</f>
        <v>0.17444711538461538</v>
      </c>
    </row>
    <row r="133" spans="1:20" x14ac:dyDescent="0.3">
      <c r="A133">
        <v>10131</v>
      </c>
      <c r="B133" t="s">
        <v>138</v>
      </c>
      <c r="C133" t="s">
        <v>607</v>
      </c>
      <c r="D133" t="s">
        <v>624</v>
      </c>
      <c r="E133" t="s">
        <v>628</v>
      </c>
      <c r="F133" t="s">
        <v>758</v>
      </c>
      <c r="G133" t="s">
        <v>1761</v>
      </c>
      <c r="H133" t="s">
        <v>1768</v>
      </c>
      <c r="I133" t="s">
        <v>1773</v>
      </c>
      <c r="J133" t="s">
        <v>1779</v>
      </c>
      <c r="K133">
        <v>20</v>
      </c>
      <c r="L133" s="2">
        <v>1196</v>
      </c>
      <c r="M133">
        <v>0.2</v>
      </c>
      <c r="N133" s="2">
        <v>894.94</v>
      </c>
      <c r="O133" s="2">
        <v>19136</v>
      </c>
      <c r="P133" s="2">
        <v>17898.8</v>
      </c>
      <c r="Q133" s="2">
        <v>1237.2</v>
      </c>
      <c r="R133">
        <v>0</v>
      </c>
      <c r="S133" s="2" t="str">
        <f>TEXT(data[[#This Row],[Date]],"mmm yyyy")</f>
        <v>May 2025</v>
      </c>
      <c r="T133" s="8">
        <f>data[[#This Row],[Profit]]/data[[#This Row],[Revenue]]</f>
        <v>6.4653010033444813E-2</v>
      </c>
    </row>
    <row r="134" spans="1:20" x14ac:dyDescent="0.3">
      <c r="A134">
        <v>10132</v>
      </c>
      <c r="B134" t="s">
        <v>139</v>
      </c>
      <c r="C134" t="s">
        <v>608</v>
      </c>
      <c r="D134" t="s">
        <v>618</v>
      </c>
      <c r="E134" t="s">
        <v>627</v>
      </c>
      <c r="F134" t="s">
        <v>759</v>
      </c>
      <c r="G134" t="s">
        <v>1765</v>
      </c>
      <c r="H134" t="s">
        <v>1770</v>
      </c>
      <c r="I134" t="s">
        <v>1775</v>
      </c>
      <c r="J134" t="s">
        <v>1776</v>
      </c>
      <c r="K134">
        <v>14</v>
      </c>
      <c r="L134" s="2">
        <v>415</v>
      </c>
      <c r="M134">
        <v>0</v>
      </c>
      <c r="N134" s="2">
        <v>208.47</v>
      </c>
      <c r="O134" s="2">
        <v>5810</v>
      </c>
      <c r="P134" s="2">
        <v>2918.58</v>
      </c>
      <c r="Q134" s="2">
        <v>2891.42</v>
      </c>
      <c r="R134">
        <v>0</v>
      </c>
      <c r="S134" s="2" t="str">
        <f>TEXT(data[[#This Row],[Date]],"mmm yyyy")</f>
        <v>Mar 2024</v>
      </c>
      <c r="T134" s="8">
        <f>data[[#This Row],[Profit]]/data[[#This Row],[Revenue]]</f>
        <v>0.49766265060240966</v>
      </c>
    </row>
    <row r="135" spans="1:20" x14ac:dyDescent="0.3">
      <c r="A135">
        <v>10133</v>
      </c>
      <c r="B135" t="s">
        <v>140</v>
      </c>
      <c r="C135" t="s">
        <v>606</v>
      </c>
      <c r="D135" t="s">
        <v>610</v>
      </c>
      <c r="E135" t="s">
        <v>629</v>
      </c>
      <c r="F135" t="s">
        <v>760</v>
      </c>
      <c r="G135" t="s">
        <v>1764</v>
      </c>
      <c r="H135" t="s">
        <v>1767</v>
      </c>
      <c r="I135" t="s">
        <v>1774</v>
      </c>
      <c r="J135" t="s">
        <v>1778</v>
      </c>
      <c r="K135">
        <v>6</v>
      </c>
      <c r="L135" s="2">
        <v>267</v>
      </c>
      <c r="M135">
        <v>0</v>
      </c>
      <c r="N135" s="2">
        <v>157.91999999999999</v>
      </c>
      <c r="O135" s="2">
        <v>1602</v>
      </c>
      <c r="P135" s="2">
        <v>947.52</v>
      </c>
      <c r="Q135" s="2">
        <v>654.48</v>
      </c>
      <c r="R135">
        <v>0</v>
      </c>
      <c r="S135" s="2" t="str">
        <f>TEXT(data[[#This Row],[Date]],"mmm yyyy")</f>
        <v>Mar 2024</v>
      </c>
      <c r="T135" s="8">
        <f>data[[#This Row],[Profit]]/data[[#This Row],[Revenue]]</f>
        <v>0.40853932584269664</v>
      </c>
    </row>
    <row r="136" spans="1:20" x14ac:dyDescent="0.3">
      <c r="A136">
        <v>10134</v>
      </c>
      <c r="B136" t="s">
        <v>74</v>
      </c>
      <c r="C136" t="s">
        <v>609</v>
      </c>
      <c r="D136" t="s">
        <v>622</v>
      </c>
      <c r="E136" t="s">
        <v>627</v>
      </c>
      <c r="F136" t="s">
        <v>761</v>
      </c>
      <c r="G136" t="s">
        <v>1760</v>
      </c>
      <c r="H136" t="s">
        <v>1768</v>
      </c>
      <c r="I136" t="s">
        <v>1775</v>
      </c>
      <c r="J136" t="s">
        <v>1778</v>
      </c>
      <c r="K136">
        <v>1</v>
      </c>
      <c r="L136" s="2">
        <v>862</v>
      </c>
      <c r="M136">
        <v>0.2</v>
      </c>
      <c r="N136" s="2">
        <v>448.17</v>
      </c>
      <c r="O136" s="2">
        <v>689.6</v>
      </c>
      <c r="P136" s="2">
        <v>448.17</v>
      </c>
      <c r="Q136" s="2">
        <v>241.43</v>
      </c>
      <c r="R136">
        <v>0</v>
      </c>
      <c r="S136" s="2" t="str">
        <f>TEXT(data[[#This Row],[Date]],"mmm yyyy")</f>
        <v>Nov 2024</v>
      </c>
      <c r="T136" s="8">
        <f>data[[#This Row],[Profit]]/data[[#This Row],[Revenue]]</f>
        <v>0.35010150812064966</v>
      </c>
    </row>
    <row r="137" spans="1:20" x14ac:dyDescent="0.3">
      <c r="A137">
        <v>10135</v>
      </c>
      <c r="B137" t="s">
        <v>141</v>
      </c>
      <c r="C137" t="s">
        <v>607</v>
      </c>
      <c r="D137" t="s">
        <v>611</v>
      </c>
      <c r="E137" t="s">
        <v>628</v>
      </c>
      <c r="F137" t="s">
        <v>762</v>
      </c>
      <c r="G137" t="s">
        <v>1763</v>
      </c>
      <c r="H137" t="s">
        <v>1770</v>
      </c>
      <c r="I137" t="s">
        <v>1775</v>
      </c>
      <c r="J137" t="s">
        <v>1778</v>
      </c>
      <c r="K137">
        <v>5</v>
      </c>
      <c r="L137" s="2">
        <v>570</v>
      </c>
      <c r="M137">
        <v>0</v>
      </c>
      <c r="N137" s="2">
        <v>336.77</v>
      </c>
      <c r="O137" s="2">
        <v>2850</v>
      </c>
      <c r="P137" s="2">
        <v>1683.85</v>
      </c>
      <c r="Q137" s="2">
        <v>1166.1500000000001</v>
      </c>
      <c r="R137">
        <v>0</v>
      </c>
      <c r="S137" s="2" t="str">
        <f>TEXT(data[[#This Row],[Date]],"mmm yyyy")</f>
        <v>Oct 2025</v>
      </c>
      <c r="T137" s="8">
        <f>data[[#This Row],[Profit]]/data[[#This Row],[Revenue]]</f>
        <v>0.40917543859649125</v>
      </c>
    </row>
    <row r="138" spans="1:20" x14ac:dyDescent="0.3">
      <c r="A138">
        <v>10136</v>
      </c>
      <c r="B138" t="s">
        <v>35</v>
      </c>
      <c r="C138" t="s">
        <v>606</v>
      </c>
      <c r="D138" t="s">
        <v>625</v>
      </c>
      <c r="E138" t="s">
        <v>629</v>
      </c>
      <c r="F138" t="s">
        <v>763</v>
      </c>
      <c r="G138" t="s">
        <v>1759</v>
      </c>
      <c r="H138" t="s">
        <v>1772</v>
      </c>
      <c r="I138" t="s">
        <v>1775</v>
      </c>
      <c r="J138" t="s">
        <v>1779</v>
      </c>
      <c r="K138">
        <v>20</v>
      </c>
      <c r="L138" s="2">
        <v>562</v>
      </c>
      <c r="M138">
        <v>0.2</v>
      </c>
      <c r="N138" s="2">
        <v>327.64999999999998</v>
      </c>
      <c r="O138" s="2">
        <v>8992</v>
      </c>
      <c r="P138" s="2">
        <v>6553</v>
      </c>
      <c r="Q138" s="2">
        <v>2439</v>
      </c>
      <c r="R138">
        <v>0</v>
      </c>
      <c r="S138" s="2" t="str">
        <f>TEXT(data[[#This Row],[Date]],"mmm yyyy")</f>
        <v>Jun 2024</v>
      </c>
      <c r="T138" s="8">
        <f>data[[#This Row],[Profit]]/data[[#This Row],[Revenue]]</f>
        <v>0.271241103202847</v>
      </c>
    </row>
    <row r="139" spans="1:20" x14ac:dyDescent="0.3">
      <c r="A139">
        <v>10137</v>
      </c>
      <c r="B139" t="s">
        <v>142</v>
      </c>
      <c r="C139" t="s">
        <v>607</v>
      </c>
      <c r="D139" t="s">
        <v>621</v>
      </c>
      <c r="E139" t="s">
        <v>626</v>
      </c>
      <c r="F139" t="s">
        <v>764</v>
      </c>
      <c r="G139" t="s">
        <v>1765</v>
      </c>
      <c r="H139" t="s">
        <v>1767</v>
      </c>
      <c r="I139" t="s">
        <v>1774</v>
      </c>
      <c r="J139" t="s">
        <v>1777</v>
      </c>
      <c r="K139">
        <v>1</v>
      </c>
      <c r="L139" s="2">
        <v>152</v>
      </c>
      <c r="M139">
        <v>0.1</v>
      </c>
      <c r="N139" s="2">
        <v>86</v>
      </c>
      <c r="O139" s="2">
        <v>136.80000000000001</v>
      </c>
      <c r="P139" s="2">
        <v>86</v>
      </c>
      <c r="Q139" s="2">
        <v>50.8</v>
      </c>
      <c r="R139">
        <v>1</v>
      </c>
      <c r="S139" s="2" t="str">
        <f>TEXT(data[[#This Row],[Date]],"mmm yyyy")</f>
        <v>Jun 2024</v>
      </c>
      <c r="T139" s="8">
        <f>data[[#This Row],[Profit]]/data[[#This Row],[Revenue]]</f>
        <v>0.37134502923976603</v>
      </c>
    </row>
    <row r="140" spans="1:20" x14ac:dyDescent="0.3">
      <c r="A140">
        <v>10138</v>
      </c>
      <c r="B140" t="s">
        <v>143</v>
      </c>
      <c r="C140" t="s">
        <v>606</v>
      </c>
      <c r="D140" t="s">
        <v>616</v>
      </c>
      <c r="E140" t="s">
        <v>627</v>
      </c>
      <c r="F140" t="s">
        <v>765</v>
      </c>
      <c r="G140" t="s">
        <v>1760</v>
      </c>
      <c r="H140" t="s">
        <v>1772</v>
      </c>
      <c r="I140" t="s">
        <v>1774</v>
      </c>
      <c r="J140" t="s">
        <v>1779</v>
      </c>
      <c r="K140">
        <v>3</v>
      </c>
      <c r="L140" s="2">
        <v>1047</v>
      </c>
      <c r="M140">
        <v>0.2</v>
      </c>
      <c r="N140" s="2">
        <v>668.42</v>
      </c>
      <c r="O140" s="2">
        <v>2512.8000000000002</v>
      </c>
      <c r="P140" s="2">
        <v>2005.26</v>
      </c>
      <c r="Q140" s="2">
        <v>507.54</v>
      </c>
      <c r="R140">
        <v>1</v>
      </c>
      <c r="S140" s="2" t="str">
        <f>TEXT(data[[#This Row],[Date]],"mmm yyyy")</f>
        <v>Jul 2024</v>
      </c>
      <c r="T140" s="8">
        <f>data[[#This Row],[Profit]]/data[[#This Row],[Revenue]]</f>
        <v>0.20198185291308499</v>
      </c>
    </row>
    <row r="141" spans="1:20" x14ac:dyDescent="0.3">
      <c r="A141">
        <v>10139</v>
      </c>
      <c r="B141" t="s">
        <v>144</v>
      </c>
      <c r="C141" t="s">
        <v>607</v>
      </c>
      <c r="D141" t="s">
        <v>621</v>
      </c>
      <c r="E141" t="s">
        <v>629</v>
      </c>
      <c r="F141" t="s">
        <v>766</v>
      </c>
      <c r="G141" t="s">
        <v>1759</v>
      </c>
      <c r="H141" t="s">
        <v>1772</v>
      </c>
      <c r="I141" t="s">
        <v>1775</v>
      </c>
      <c r="J141" t="s">
        <v>1778</v>
      </c>
      <c r="K141">
        <v>1</v>
      </c>
      <c r="L141" s="2">
        <v>1100</v>
      </c>
      <c r="M141">
        <v>0.15</v>
      </c>
      <c r="N141" s="2">
        <v>676.42</v>
      </c>
      <c r="O141" s="2">
        <v>935</v>
      </c>
      <c r="P141" s="2">
        <v>676.42</v>
      </c>
      <c r="Q141" s="2">
        <v>258.58</v>
      </c>
      <c r="R141">
        <v>0</v>
      </c>
      <c r="S141" s="2" t="str">
        <f>TEXT(data[[#This Row],[Date]],"mmm yyyy")</f>
        <v>Jul 2025</v>
      </c>
      <c r="T141" s="8">
        <f>data[[#This Row],[Profit]]/data[[#This Row],[Revenue]]</f>
        <v>0.27655614973262033</v>
      </c>
    </row>
    <row r="142" spans="1:20" x14ac:dyDescent="0.3">
      <c r="A142">
        <v>10140</v>
      </c>
      <c r="B142" t="s">
        <v>44</v>
      </c>
      <c r="C142" t="s">
        <v>606</v>
      </c>
      <c r="D142" t="s">
        <v>616</v>
      </c>
      <c r="E142" t="s">
        <v>629</v>
      </c>
      <c r="F142" t="s">
        <v>767</v>
      </c>
      <c r="G142" t="s">
        <v>1766</v>
      </c>
      <c r="H142" t="s">
        <v>1769</v>
      </c>
      <c r="I142" t="s">
        <v>1775</v>
      </c>
      <c r="J142" t="s">
        <v>1777</v>
      </c>
      <c r="K142">
        <v>7</v>
      </c>
      <c r="L142" s="2">
        <v>451</v>
      </c>
      <c r="M142">
        <v>0.05</v>
      </c>
      <c r="N142" s="2">
        <v>249.48</v>
      </c>
      <c r="O142" s="2">
        <v>2999.15</v>
      </c>
      <c r="P142" s="2">
        <v>1746.36</v>
      </c>
      <c r="Q142" s="2">
        <v>1252.79</v>
      </c>
      <c r="R142">
        <v>0</v>
      </c>
      <c r="S142" s="2" t="str">
        <f>TEXT(data[[#This Row],[Date]],"mmm yyyy")</f>
        <v>Jul 2024</v>
      </c>
      <c r="T142" s="8">
        <f>data[[#This Row],[Profit]]/data[[#This Row],[Revenue]]</f>
        <v>0.41771501925545568</v>
      </c>
    </row>
    <row r="143" spans="1:20" x14ac:dyDescent="0.3">
      <c r="A143">
        <v>10141</v>
      </c>
      <c r="B143" t="s">
        <v>145</v>
      </c>
      <c r="C143" t="s">
        <v>608</v>
      </c>
      <c r="D143" t="s">
        <v>614</v>
      </c>
      <c r="E143" t="s">
        <v>629</v>
      </c>
      <c r="F143" t="s">
        <v>768</v>
      </c>
      <c r="G143" t="s">
        <v>1766</v>
      </c>
      <c r="H143" t="s">
        <v>1767</v>
      </c>
      <c r="I143" t="s">
        <v>1775</v>
      </c>
      <c r="J143" t="s">
        <v>1776</v>
      </c>
      <c r="K143">
        <v>4</v>
      </c>
      <c r="L143" s="2">
        <v>175</v>
      </c>
      <c r="M143">
        <v>0.1</v>
      </c>
      <c r="N143" s="2">
        <v>115.18</v>
      </c>
      <c r="O143" s="2">
        <v>630</v>
      </c>
      <c r="P143" s="2">
        <v>460.72</v>
      </c>
      <c r="Q143" s="2">
        <v>169.28</v>
      </c>
      <c r="R143">
        <v>0</v>
      </c>
      <c r="S143" s="2" t="str">
        <f>TEXT(data[[#This Row],[Date]],"mmm yyyy")</f>
        <v>Jun 2024</v>
      </c>
      <c r="T143" s="8">
        <f>data[[#This Row],[Profit]]/data[[#This Row],[Revenue]]</f>
        <v>0.26869841269841271</v>
      </c>
    </row>
    <row r="144" spans="1:20" x14ac:dyDescent="0.3">
      <c r="A144">
        <v>10142</v>
      </c>
      <c r="B144" t="s">
        <v>146</v>
      </c>
      <c r="C144" t="s">
        <v>609</v>
      </c>
      <c r="D144" t="s">
        <v>622</v>
      </c>
      <c r="E144" t="s">
        <v>628</v>
      </c>
      <c r="F144" t="s">
        <v>769</v>
      </c>
      <c r="G144" t="s">
        <v>1764</v>
      </c>
      <c r="H144" t="s">
        <v>1771</v>
      </c>
      <c r="I144" t="s">
        <v>1774</v>
      </c>
      <c r="J144" t="s">
        <v>1777</v>
      </c>
      <c r="K144">
        <v>16</v>
      </c>
      <c r="L144" s="2">
        <v>589</v>
      </c>
      <c r="M144">
        <v>0.2</v>
      </c>
      <c r="N144" s="2">
        <v>378.02</v>
      </c>
      <c r="O144" s="2">
        <v>7539.2</v>
      </c>
      <c r="P144" s="2">
        <v>6048.32</v>
      </c>
      <c r="Q144" s="2">
        <v>1490.88</v>
      </c>
      <c r="R144">
        <v>0</v>
      </c>
      <c r="S144" s="2" t="str">
        <f>TEXT(data[[#This Row],[Date]],"mmm yyyy")</f>
        <v>Oct 2024</v>
      </c>
      <c r="T144" s="8">
        <f>data[[#This Row],[Profit]]/data[[#This Row],[Revenue]]</f>
        <v>0.19775042444821733</v>
      </c>
    </row>
    <row r="145" spans="1:20" x14ac:dyDescent="0.3">
      <c r="A145">
        <v>10143</v>
      </c>
      <c r="B145" t="s">
        <v>147</v>
      </c>
      <c r="C145" t="s">
        <v>606</v>
      </c>
      <c r="D145" t="s">
        <v>620</v>
      </c>
      <c r="E145" t="s">
        <v>629</v>
      </c>
      <c r="F145" t="s">
        <v>710</v>
      </c>
      <c r="G145" t="s">
        <v>1764</v>
      </c>
      <c r="H145" t="s">
        <v>1772</v>
      </c>
      <c r="I145" t="s">
        <v>1773</v>
      </c>
      <c r="J145" t="s">
        <v>1779</v>
      </c>
      <c r="K145">
        <v>6</v>
      </c>
      <c r="L145" s="2">
        <v>705</v>
      </c>
      <c r="M145">
        <v>0.15</v>
      </c>
      <c r="N145" s="2">
        <v>367.24</v>
      </c>
      <c r="O145" s="2">
        <v>3595.5</v>
      </c>
      <c r="P145" s="2">
        <v>2203.44</v>
      </c>
      <c r="Q145" s="2">
        <v>1392.06</v>
      </c>
      <c r="R145">
        <v>0</v>
      </c>
      <c r="S145" s="2" t="str">
        <f>TEXT(data[[#This Row],[Date]],"mmm yyyy")</f>
        <v>Feb 2024</v>
      </c>
      <c r="T145" s="8">
        <f>data[[#This Row],[Profit]]/data[[#This Row],[Revenue]]</f>
        <v>0.38716729244889442</v>
      </c>
    </row>
    <row r="146" spans="1:20" x14ac:dyDescent="0.3">
      <c r="A146">
        <v>10144</v>
      </c>
      <c r="B146" t="s">
        <v>148</v>
      </c>
      <c r="C146" t="s">
        <v>609</v>
      </c>
      <c r="D146" t="s">
        <v>622</v>
      </c>
      <c r="E146" t="s">
        <v>628</v>
      </c>
      <c r="F146" t="s">
        <v>770</v>
      </c>
      <c r="G146" t="s">
        <v>1766</v>
      </c>
      <c r="H146" t="s">
        <v>1772</v>
      </c>
      <c r="I146" t="s">
        <v>1773</v>
      </c>
      <c r="J146" t="s">
        <v>1777</v>
      </c>
      <c r="K146">
        <v>19</v>
      </c>
      <c r="L146" s="2">
        <v>826</v>
      </c>
      <c r="M146">
        <v>0.05</v>
      </c>
      <c r="N146" s="2">
        <v>545.29</v>
      </c>
      <c r="O146" s="2">
        <v>14909.3</v>
      </c>
      <c r="P146" s="2">
        <v>10360.51</v>
      </c>
      <c r="Q146" s="2">
        <v>4548.79</v>
      </c>
      <c r="R146">
        <v>1</v>
      </c>
      <c r="S146" s="2" t="str">
        <f>TEXT(data[[#This Row],[Date]],"mmm yyyy")</f>
        <v>Jul 2024</v>
      </c>
      <c r="T146" s="8">
        <f>data[[#This Row],[Profit]]/data[[#This Row],[Revenue]]</f>
        <v>0.30509748948642795</v>
      </c>
    </row>
    <row r="147" spans="1:20" x14ac:dyDescent="0.3">
      <c r="A147">
        <v>10145</v>
      </c>
      <c r="B147" t="s">
        <v>149</v>
      </c>
      <c r="C147" t="s">
        <v>608</v>
      </c>
      <c r="D147" t="s">
        <v>614</v>
      </c>
      <c r="E147" t="s">
        <v>628</v>
      </c>
      <c r="F147" t="s">
        <v>771</v>
      </c>
      <c r="G147" t="s">
        <v>1761</v>
      </c>
      <c r="H147" t="s">
        <v>1772</v>
      </c>
      <c r="I147" t="s">
        <v>1773</v>
      </c>
      <c r="J147" t="s">
        <v>1778</v>
      </c>
      <c r="K147">
        <v>2</v>
      </c>
      <c r="L147" s="2">
        <v>860</v>
      </c>
      <c r="M147">
        <v>0.2</v>
      </c>
      <c r="N147" s="2">
        <v>624.48</v>
      </c>
      <c r="O147" s="2">
        <v>1376</v>
      </c>
      <c r="P147" s="2">
        <v>1248.96</v>
      </c>
      <c r="Q147" s="2">
        <v>127.04</v>
      </c>
      <c r="R147">
        <v>0</v>
      </c>
      <c r="S147" s="2" t="str">
        <f>TEXT(data[[#This Row],[Date]],"mmm yyyy")</f>
        <v>Sep 2024</v>
      </c>
      <c r="T147" s="8">
        <f>data[[#This Row],[Profit]]/data[[#This Row],[Revenue]]</f>
        <v>9.2325581395348841E-2</v>
      </c>
    </row>
    <row r="148" spans="1:20" x14ac:dyDescent="0.3">
      <c r="A148">
        <v>10146</v>
      </c>
      <c r="B148" t="s">
        <v>150</v>
      </c>
      <c r="C148" t="s">
        <v>609</v>
      </c>
      <c r="D148" t="s">
        <v>613</v>
      </c>
      <c r="E148" t="s">
        <v>629</v>
      </c>
      <c r="F148" t="s">
        <v>772</v>
      </c>
      <c r="G148" t="s">
        <v>1762</v>
      </c>
      <c r="H148" t="s">
        <v>1770</v>
      </c>
      <c r="I148" t="s">
        <v>1775</v>
      </c>
      <c r="J148" t="s">
        <v>1776</v>
      </c>
      <c r="K148">
        <v>19</v>
      </c>
      <c r="L148" s="2">
        <v>705</v>
      </c>
      <c r="M148">
        <v>0.2</v>
      </c>
      <c r="N148" s="2">
        <v>430.28</v>
      </c>
      <c r="O148" s="2">
        <v>10716</v>
      </c>
      <c r="P148" s="2">
        <v>8175.32</v>
      </c>
      <c r="Q148" s="2">
        <v>2540.6799999999998</v>
      </c>
      <c r="R148">
        <v>0</v>
      </c>
      <c r="S148" s="2" t="str">
        <f>TEXT(data[[#This Row],[Date]],"mmm yyyy")</f>
        <v>Apr 2025</v>
      </c>
      <c r="T148" s="8">
        <f>data[[#This Row],[Profit]]/data[[#This Row],[Revenue]]</f>
        <v>0.23709219858156028</v>
      </c>
    </row>
    <row r="149" spans="1:20" x14ac:dyDescent="0.3">
      <c r="A149">
        <v>10147</v>
      </c>
      <c r="B149" t="s">
        <v>151</v>
      </c>
      <c r="C149" t="s">
        <v>606</v>
      </c>
      <c r="D149" t="s">
        <v>616</v>
      </c>
      <c r="E149" t="s">
        <v>627</v>
      </c>
      <c r="F149" t="s">
        <v>773</v>
      </c>
      <c r="G149" t="s">
        <v>1765</v>
      </c>
      <c r="H149" t="s">
        <v>1767</v>
      </c>
      <c r="I149" t="s">
        <v>1773</v>
      </c>
      <c r="J149" t="s">
        <v>1776</v>
      </c>
      <c r="K149">
        <v>15</v>
      </c>
      <c r="L149" s="2">
        <v>123</v>
      </c>
      <c r="M149">
        <v>0.05</v>
      </c>
      <c r="N149" s="2">
        <v>86.33</v>
      </c>
      <c r="O149" s="2">
        <v>1752.75</v>
      </c>
      <c r="P149" s="2">
        <v>1294.95</v>
      </c>
      <c r="Q149" s="2">
        <v>457.8</v>
      </c>
      <c r="R149">
        <v>0</v>
      </c>
      <c r="S149" s="2" t="str">
        <f>TEXT(data[[#This Row],[Date]],"mmm yyyy")</f>
        <v>Apr 2025</v>
      </c>
      <c r="T149" s="8">
        <f>data[[#This Row],[Profit]]/data[[#This Row],[Revenue]]</f>
        <v>0.26118955926401372</v>
      </c>
    </row>
    <row r="150" spans="1:20" x14ac:dyDescent="0.3">
      <c r="A150">
        <v>10148</v>
      </c>
      <c r="B150" t="s">
        <v>152</v>
      </c>
      <c r="C150" t="s">
        <v>606</v>
      </c>
      <c r="D150" t="s">
        <v>610</v>
      </c>
      <c r="E150" t="s">
        <v>629</v>
      </c>
      <c r="F150" t="s">
        <v>725</v>
      </c>
      <c r="G150" t="s">
        <v>1764</v>
      </c>
      <c r="H150" t="s">
        <v>1767</v>
      </c>
      <c r="I150" t="s">
        <v>1773</v>
      </c>
      <c r="J150" t="s">
        <v>1778</v>
      </c>
      <c r="K150">
        <v>13</v>
      </c>
      <c r="L150" s="2">
        <v>104</v>
      </c>
      <c r="M150">
        <v>0</v>
      </c>
      <c r="N150" s="2">
        <v>68.34</v>
      </c>
      <c r="O150" s="2">
        <v>1352</v>
      </c>
      <c r="P150" s="2">
        <v>888.42</v>
      </c>
      <c r="Q150" s="2">
        <v>463.58</v>
      </c>
      <c r="R150">
        <v>1</v>
      </c>
      <c r="S150" s="2" t="str">
        <f>TEXT(data[[#This Row],[Date]],"mmm yyyy")</f>
        <v>Dec 2024</v>
      </c>
      <c r="T150" s="8">
        <f>data[[#This Row],[Profit]]/data[[#This Row],[Revenue]]</f>
        <v>0.3428846153846154</v>
      </c>
    </row>
    <row r="151" spans="1:20" x14ac:dyDescent="0.3">
      <c r="A151">
        <v>10149</v>
      </c>
      <c r="B151" t="s">
        <v>153</v>
      </c>
      <c r="C151" t="s">
        <v>608</v>
      </c>
      <c r="D151" t="s">
        <v>612</v>
      </c>
      <c r="E151" t="s">
        <v>627</v>
      </c>
      <c r="F151" t="s">
        <v>774</v>
      </c>
      <c r="G151" t="s">
        <v>1763</v>
      </c>
      <c r="H151" t="s">
        <v>1771</v>
      </c>
      <c r="I151" t="s">
        <v>1775</v>
      </c>
      <c r="J151" t="s">
        <v>1777</v>
      </c>
      <c r="K151">
        <v>2</v>
      </c>
      <c r="L151" s="2">
        <v>676</v>
      </c>
      <c r="M151">
        <v>0.05</v>
      </c>
      <c r="N151" s="2">
        <v>458.62</v>
      </c>
      <c r="O151" s="2">
        <v>1284.4000000000001</v>
      </c>
      <c r="P151" s="2">
        <v>917.24</v>
      </c>
      <c r="Q151" s="2">
        <v>367.16</v>
      </c>
      <c r="R151">
        <v>0</v>
      </c>
      <c r="S151" s="2" t="str">
        <f>TEXT(data[[#This Row],[Date]],"mmm yyyy")</f>
        <v>Mar 2025</v>
      </c>
      <c r="T151" s="8">
        <f>data[[#This Row],[Profit]]/data[[#This Row],[Revenue]]</f>
        <v>0.28586110246029273</v>
      </c>
    </row>
    <row r="152" spans="1:20" x14ac:dyDescent="0.3">
      <c r="A152">
        <v>10150</v>
      </c>
      <c r="B152" t="s">
        <v>115</v>
      </c>
      <c r="C152" t="s">
        <v>608</v>
      </c>
      <c r="D152" t="s">
        <v>614</v>
      </c>
      <c r="E152" t="s">
        <v>626</v>
      </c>
      <c r="F152" t="s">
        <v>775</v>
      </c>
      <c r="G152" t="s">
        <v>1764</v>
      </c>
      <c r="H152" t="s">
        <v>1772</v>
      </c>
      <c r="I152" t="s">
        <v>1775</v>
      </c>
      <c r="J152" t="s">
        <v>1776</v>
      </c>
      <c r="K152">
        <v>10</v>
      </c>
      <c r="L152" s="2">
        <v>1084</v>
      </c>
      <c r="M152">
        <v>0.1</v>
      </c>
      <c r="N152" s="2">
        <v>759.92</v>
      </c>
      <c r="O152" s="2">
        <v>9756</v>
      </c>
      <c r="P152" s="2">
        <v>7599.2</v>
      </c>
      <c r="Q152" s="2">
        <v>2156.8000000000002</v>
      </c>
      <c r="R152">
        <v>0</v>
      </c>
      <c r="S152" s="2" t="str">
        <f>TEXT(data[[#This Row],[Date]],"mmm yyyy")</f>
        <v>May 2025</v>
      </c>
      <c r="T152" s="8">
        <f>data[[#This Row],[Profit]]/data[[#This Row],[Revenue]]</f>
        <v>0.22107421074210745</v>
      </c>
    </row>
    <row r="153" spans="1:20" x14ac:dyDescent="0.3">
      <c r="A153">
        <v>10151</v>
      </c>
      <c r="B153" t="s">
        <v>77</v>
      </c>
      <c r="C153" t="s">
        <v>608</v>
      </c>
      <c r="D153" t="s">
        <v>614</v>
      </c>
      <c r="E153" t="s">
        <v>627</v>
      </c>
      <c r="F153" t="s">
        <v>776</v>
      </c>
      <c r="G153" t="s">
        <v>1763</v>
      </c>
      <c r="H153" t="s">
        <v>1770</v>
      </c>
      <c r="I153" t="s">
        <v>1775</v>
      </c>
      <c r="J153" t="s">
        <v>1777</v>
      </c>
      <c r="K153">
        <v>18</v>
      </c>
      <c r="L153" s="2">
        <v>616</v>
      </c>
      <c r="M153">
        <v>0.15</v>
      </c>
      <c r="N153" s="2">
        <v>436.63</v>
      </c>
      <c r="O153" s="2">
        <v>9424.7999999999993</v>
      </c>
      <c r="P153" s="2">
        <v>7859.34</v>
      </c>
      <c r="Q153" s="2">
        <v>1565.46</v>
      </c>
      <c r="R153">
        <v>0</v>
      </c>
      <c r="S153" s="2" t="str">
        <f>TEXT(data[[#This Row],[Date]],"mmm yyyy")</f>
        <v>Sep 2024</v>
      </c>
      <c r="T153" s="8">
        <f>data[[#This Row],[Profit]]/data[[#This Row],[Revenue]]</f>
        <v>0.16610007639419405</v>
      </c>
    </row>
    <row r="154" spans="1:20" x14ac:dyDescent="0.3">
      <c r="A154">
        <v>10152</v>
      </c>
      <c r="B154" t="s">
        <v>131</v>
      </c>
      <c r="C154" t="s">
        <v>608</v>
      </c>
      <c r="D154" t="s">
        <v>614</v>
      </c>
      <c r="E154" t="s">
        <v>626</v>
      </c>
      <c r="F154" t="s">
        <v>777</v>
      </c>
      <c r="G154" t="s">
        <v>1766</v>
      </c>
      <c r="H154" t="s">
        <v>1767</v>
      </c>
      <c r="I154" t="s">
        <v>1774</v>
      </c>
      <c r="J154" t="s">
        <v>1777</v>
      </c>
      <c r="K154">
        <v>14</v>
      </c>
      <c r="L154" s="2">
        <v>154</v>
      </c>
      <c r="M154">
        <v>0.05</v>
      </c>
      <c r="N154" s="2">
        <v>79.209999999999994</v>
      </c>
      <c r="O154" s="2">
        <v>2048.1999999999998</v>
      </c>
      <c r="P154" s="2">
        <v>1108.94</v>
      </c>
      <c r="Q154" s="2">
        <v>939.26</v>
      </c>
      <c r="R154">
        <v>0</v>
      </c>
      <c r="S154" s="2" t="str">
        <f>TEXT(data[[#This Row],[Date]],"mmm yyyy")</f>
        <v>May 2024</v>
      </c>
      <c r="T154" s="8">
        <f>data[[#This Row],[Profit]]/data[[#This Row],[Revenue]]</f>
        <v>0.45857826384142175</v>
      </c>
    </row>
    <row r="155" spans="1:20" x14ac:dyDescent="0.3">
      <c r="A155">
        <v>10153</v>
      </c>
      <c r="B155" t="s">
        <v>154</v>
      </c>
      <c r="C155" t="s">
        <v>607</v>
      </c>
      <c r="D155" t="s">
        <v>624</v>
      </c>
      <c r="E155" t="s">
        <v>629</v>
      </c>
      <c r="F155" t="s">
        <v>778</v>
      </c>
      <c r="G155" t="s">
        <v>1765</v>
      </c>
      <c r="H155" t="s">
        <v>1769</v>
      </c>
      <c r="I155" t="s">
        <v>1773</v>
      </c>
      <c r="J155" t="s">
        <v>1777</v>
      </c>
      <c r="K155">
        <v>6</v>
      </c>
      <c r="L155" s="2">
        <v>296</v>
      </c>
      <c r="M155">
        <v>0.1</v>
      </c>
      <c r="N155" s="2">
        <v>180.21</v>
      </c>
      <c r="O155" s="2">
        <v>1598.4</v>
      </c>
      <c r="P155" s="2">
        <v>1081.26</v>
      </c>
      <c r="Q155" s="2">
        <v>517.14</v>
      </c>
      <c r="R155">
        <v>1</v>
      </c>
      <c r="S155" s="2" t="str">
        <f>TEXT(data[[#This Row],[Date]],"mmm yyyy")</f>
        <v>Aug 2024</v>
      </c>
      <c r="T155" s="8">
        <f>data[[#This Row],[Profit]]/data[[#This Row],[Revenue]]</f>
        <v>0.32353603603603603</v>
      </c>
    </row>
    <row r="156" spans="1:20" x14ac:dyDescent="0.3">
      <c r="A156">
        <v>10154</v>
      </c>
      <c r="B156" t="s">
        <v>155</v>
      </c>
      <c r="C156" t="s">
        <v>608</v>
      </c>
      <c r="D156" t="s">
        <v>618</v>
      </c>
      <c r="E156" t="s">
        <v>627</v>
      </c>
      <c r="F156" t="s">
        <v>779</v>
      </c>
      <c r="G156" t="s">
        <v>1759</v>
      </c>
      <c r="H156" t="s">
        <v>1769</v>
      </c>
      <c r="I156" t="s">
        <v>1774</v>
      </c>
      <c r="J156" t="s">
        <v>1778</v>
      </c>
      <c r="K156">
        <v>3</v>
      </c>
      <c r="L156" s="2">
        <v>190</v>
      </c>
      <c r="M156">
        <v>0.2</v>
      </c>
      <c r="N156" s="2">
        <v>129.72</v>
      </c>
      <c r="O156" s="2">
        <v>456</v>
      </c>
      <c r="P156" s="2">
        <v>389.16</v>
      </c>
      <c r="Q156" s="2">
        <v>66.84</v>
      </c>
      <c r="R156">
        <v>0</v>
      </c>
      <c r="S156" s="2" t="str">
        <f>TEXT(data[[#This Row],[Date]],"mmm yyyy")</f>
        <v>Jun 2024</v>
      </c>
      <c r="T156" s="8">
        <f>data[[#This Row],[Profit]]/data[[#This Row],[Revenue]]</f>
        <v>0.14657894736842106</v>
      </c>
    </row>
    <row r="157" spans="1:20" x14ac:dyDescent="0.3">
      <c r="A157">
        <v>10155</v>
      </c>
      <c r="B157" t="s">
        <v>156</v>
      </c>
      <c r="C157" t="s">
        <v>608</v>
      </c>
      <c r="D157" t="s">
        <v>614</v>
      </c>
      <c r="E157" t="s">
        <v>629</v>
      </c>
      <c r="F157" t="s">
        <v>780</v>
      </c>
      <c r="G157" t="s">
        <v>1761</v>
      </c>
      <c r="H157" t="s">
        <v>1768</v>
      </c>
      <c r="I157" t="s">
        <v>1773</v>
      </c>
      <c r="J157" t="s">
        <v>1779</v>
      </c>
      <c r="K157">
        <v>14</v>
      </c>
      <c r="L157" s="2">
        <v>1332</v>
      </c>
      <c r="M157">
        <v>0</v>
      </c>
      <c r="N157" s="2">
        <v>838.65</v>
      </c>
      <c r="O157" s="2">
        <v>18648</v>
      </c>
      <c r="P157" s="2">
        <v>11741.1</v>
      </c>
      <c r="Q157" s="2">
        <v>6906.9</v>
      </c>
      <c r="R157">
        <v>0</v>
      </c>
      <c r="S157" s="2" t="str">
        <f>TEXT(data[[#This Row],[Date]],"mmm yyyy")</f>
        <v>Dec 2024</v>
      </c>
      <c r="T157" s="8">
        <f>data[[#This Row],[Profit]]/data[[#This Row],[Revenue]]</f>
        <v>0.37038288288288285</v>
      </c>
    </row>
    <row r="158" spans="1:20" x14ac:dyDescent="0.3">
      <c r="A158">
        <v>10156</v>
      </c>
      <c r="B158" t="s">
        <v>157</v>
      </c>
      <c r="C158" t="s">
        <v>607</v>
      </c>
      <c r="D158" t="s">
        <v>621</v>
      </c>
      <c r="E158" t="s">
        <v>627</v>
      </c>
      <c r="F158" t="s">
        <v>781</v>
      </c>
      <c r="G158" t="s">
        <v>1760</v>
      </c>
      <c r="H158" t="s">
        <v>1770</v>
      </c>
      <c r="I158" t="s">
        <v>1775</v>
      </c>
      <c r="J158" t="s">
        <v>1779</v>
      </c>
      <c r="K158">
        <v>8</v>
      </c>
      <c r="L158" s="2">
        <v>672</v>
      </c>
      <c r="M158">
        <v>0.05</v>
      </c>
      <c r="N158" s="2">
        <v>430.61</v>
      </c>
      <c r="O158" s="2">
        <v>5107.2</v>
      </c>
      <c r="P158" s="2">
        <v>3444.88</v>
      </c>
      <c r="Q158" s="2">
        <v>1662.32</v>
      </c>
      <c r="R158">
        <v>0</v>
      </c>
      <c r="S158" s="2" t="str">
        <f>TEXT(data[[#This Row],[Date]],"mmm yyyy")</f>
        <v>Feb 2024</v>
      </c>
      <c r="T158" s="8">
        <f>data[[#This Row],[Profit]]/data[[#This Row],[Revenue]]</f>
        <v>0.32548558897243107</v>
      </c>
    </row>
    <row r="159" spans="1:20" x14ac:dyDescent="0.3">
      <c r="A159">
        <v>10157</v>
      </c>
      <c r="B159" t="s">
        <v>158</v>
      </c>
      <c r="C159" t="s">
        <v>609</v>
      </c>
      <c r="D159" t="s">
        <v>622</v>
      </c>
      <c r="E159" t="s">
        <v>626</v>
      </c>
      <c r="F159" t="s">
        <v>782</v>
      </c>
      <c r="G159" t="s">
        <v>1764</v>
      </c>
      <c r="H159" t="s">
        <v>1772</v>
      </c>
      <c r="I159" t="s">
        <v>1774</v>
      </c>
      <c r="J159" t="s">
        <v>1776</v>
      </c>
      <c r="K159">
        <v>11</v>
      </c>
      <c r="L159" s="2">
        <v>750</v>
      </c>
      <c r="M159">
        <v>0.15</v>
      </c>
      <c r="N159" s="2">
        <v>483.06</v>
      </c>
      <c r="O159" s="2">
        <v>7012.5</v>
      </c>
      <c r="P159" s="2">
        <v>5313.66</v>
      </c>
      <c r="Q159" s="2">
        <v>1698.84</v>
      </c>
      <c r="R159">
        <v>0</v>
      </c>
      <c r="S159" s="2" t="str">
        <f>TEXT(data[[#This Row],[Date]],"mmm yyyy")</f>
        <v>Oct 2024</v>
      </c>
      <c r="T159" s="8">
        <f>data[[#This Row],[Profit]]/data[[#This Row],[Revenue]]</f>
        <v>0.24225882352941175</v>
      </c>
    </row>
    <row r="160" spans="1:20" x14ac:dyDescent="0.3">
      <c r="A160">
        <v>10158</v>
      </c>
      <c r="B160" t="s">
        <v>74</v>
      </c>
      <c r="C160" t="s">
        <v>608</v>
      </c>
      <c r="D160" t="s">
        <v>614</v>
      </c>
      <c r="E160" t="s">
        <v>629</v>
      </c>
      <c r="F160" t="s">
        <v>783</v>
      </c>
      <c r="G160" t="s">
        <v>1760</v>
      </c>
      <c r="H160" t="s">
        <v>1771</v>
      </c>
      <c r="I160" t="s">
        <v>1773</v>
      </c>
      <c r="J160" t="s">
        <v>1777</v>
      </c>
      <c r="K160">
        <v>8</v>
      </c>
      <c r="L160" s="2">
        <v>345</v>
      </c>
      <c r="M160">
        <v>0.2</v>
      </c>
      <c r="N160" s="2">
        <v>188.23</v>
      </c>
      <c r="O160" s="2">
        <v>2208</v>
      </c>
      <c r="P160" s="2">
        <v>1505.84</v>
      </c>
      <c r="Q160" s="2">
        <v>702.16</v>
      </c>
      <c r="R160">
        <v>0</v>
      </c>
      <c r="S160" s="2" t="str">
        <f>TEXT(data[[#This Row],[Date]],"mmm yyyy")</f>
        <v>Nov 2024</v>
      </c>
      <c r="T160" s="8">
        <f>data[[#This Row],[Profit]]/data[[#This Row],[Revenue]]</f>
        <v>0.3180072463768116</v>
      </c>
    </row>
    <row r="161" spans="1:20" x14ac:dyDescent="0.3">
      <c r="A161">
        <v>10159</v>
      </c>
      <c r="B161" t="s">
        <v>20</v>
      </c>
      <c r="C161" t="s">
        <v>606</v>
      </c>
      <c r="D161" t="s">
        <v>620</v>
      </c>
      <c r="E161" t="s">
        <v>629</v>
      </c>
      <c r="F161" t="s">
        <v>784</v>
      </c>
      <c r="G161" t="s">
        <v>1765</v>
      </c>
      <c r="H161" t="s">
        <v>1769</v>
      </c>
      <c r="I161" t="s">
        <v>1773</v>
      </c>
      <c r="J161" t="s">
        <v>1778</v>
      </c>
      <c r="K161">
        <v>19</v>
      </c>
      <c r="L161" s="2">
        <v>476</v>
      </c>
      <c r="M161">
        <v>0.15</v>
      </c>
      <c r="N161" s="2">
        <v>300.23</v>
      </c>
      <c r="O161" s="2">
        <v>7687.4</v>
      </c>
      <c r="P161" s="2">
        <v>5704.37</v>
      </c>
      <c r="Q161" s="2">
        <v>1983.03</v>
      </c>
      <c r="R161">
        <v>1</v>
      </c>
      <c r="S161" s="2" t="str">
        <f>TEXT(data[[#This Row],[Date]],"mmm yyyy")</f>
        <v>Apr 2024</v>
      </c>
      <c r="T161" s="8">
        <f>data[[#This Row],[Profit]]/data[[#This Row],[Revenue]]</f>
        <v>0.25795847750865053</v>
      </c>
    </row>
    <row r="162" spans="1:20" x14ac:dyDescent="0.3">
      <c r="A162">
        <v>10160</v>
      </c>
      <c r="B162" t="s">
        <v>159</v>
      </c>
      <c r="C162" t="s">
        <v>609</v>
      </c>
      <c r="D162" t="s">
        <v>619</v>
      </c>
      <c r="E162" t="s">
        <v>627</v>
      </c>
      <c r="F162" t="s">
        <v>785</v>
      </c>
      <c r="G162" t="s">
        <v>1759</v>
      </c>
      <c r="H162" t="s">
        <v>1767</v>
      </c>
      <c r="I162" t="s">
        <v>1773</v>
      </c>
      <c r="J162" t="s">
        <v>1777</v>
      </c>
      <c r="K162">
        <v>17</v>
      </c>
      <c r="L162" s="2">
        <v>229</v>
      </c>
      <c r="M162">
        <v>0.1</v>
      </c>
      <c r="N162" s="2">
        <v>120.8</v>
      </c>
      <c r="O162" s="2">
        <v>3503.7</v>
      </c>
      <c r="P162" s="2">
        <v>2053.6</v>
      </c>
      <c r="Q162" s="2">
        <v>1450.1</v>
      </c>
      <c r="R162">
        <v>0</v>
      </c>
      <c r="S162" s="2" t="str">
        <f>TEXT(data[[#This Row],[Date]],"mmm yyyy")</f>
        <v>Feb 2025</v>
      </c>
      <c r="T162" s="8">
        <f>data[[#This Row],[Profit]]/data[[#This Row],[Revenue]]</f>
        <v>0.41387675885492481</v>
      </c>
    </row>
    <row r="163" spans="1:20" x14ac:dyDescent="0.3">
      <c r="A163">
        <v>10161</v>
      </c>
      <c r="B163" t="s">
        <v>160</v>
      </c>
      <c r="C163" t="s">
        <v>607</v>
      </c>
      <c r="D163" t="s">
        <v>611</v>
      </c>
      <c r="E163" t="s">
        <v>626</v>
      </c>
      <c r="F163" t="s">
        <v>786</v>
      </c>
      <c r="G163" t="s">
        <v>1766</v>
      </c>
      <c r="H163" t="s">
        <v>1771</v>
      </c>
      <c r="I163" t="s">
        <v>1775</v>
      </c>
      <c r="J163" t="s">
        <v>1777</v>
      </c>
      <c r="K163">
        <v>13</v>
      </c>
      <c r="L163" s="2">
        <v>309</v>
      </c>
      <c r="M163">
        <v>0.15</v>
      </c>
      <c r="N163" s="2">
        <v>200.62</v>
      </c>
      <c r="O163" s="2">
        <v>3414.45</v>
      </c>
      <c r="P163" s="2">
        <v>2608.06</v>
      </c>
      <c r="Q163" s="2">
        <v>806.39</v>
      </c>
      <c r="R163">
        <v>0</v>
      </c>
      <c r="S163" s="2" t="str">
        <f>TEXT(data[[#This Row],[Date]],"mmm yyyy")</f>
        <v>Feb 2025</v>
      </c>
      <c r="T163" s="8">
        <f>data[[#This Row],[Profit]]/data[[#This Row],[Revenue]]</f>
        <v>0.23616980772891683</v>
      </c>
    </row>
    <row r="164" spans="1:20" x14ac:dyDescent="0.3">
      <c r="A164">
        <v>10162</v>
      </c>
      <c r="B164" t="s">
        <v>161</v>
      </c>
      <c r="C164" t="s">
        <v>606</v>
      </c>
      <c r="D164" t="s">
        <v>616</v>
      </c>
      <c r="E164" t="s">
        <v>629</v>
      </c>
      <c r="F164" t="s">
        <v>787</v>
      </c>
      <c r="G164" t="s">
        <v>1763</v>
      </c>
      <c r="H164" t="s">
        <v>1769</v>
      </c>
      <c r="I164" t="s">
        <v>1774</v>
      </c>
      <c r="J164" t="s">
        <v>1776</v>
      </c>
      <c r="K164">
        <v>13</v>
      </c>
      <c r="L164" s="2">
        <v>314</v>
      </c>
      <c r="M164">
        <v>0.2</v>
      </c>
      <c r="N164" s="2">
        <v>161.19999999999999</v>
      </c>
      <c r="O164" s="2">
        <v>3265.6</v>
      </c>
      <c r="P164" s="2">
        <v>2095.6</v>
      </c>
      <c r="Q164" s="2">
        <v>1170</v>
      </c>
      <c r="R164">
        <v>0</v>
      </c>
      <c r="S164" s="2" t="str">
        <f>TEXT(data[[#This Row],[Date]],"mmm yyyy")</f>
        <v>Nov 2025</v>
      </c>
      <c r="T164" s="8">
        <f>data[[#This Row],[Profit]]/data[[#This Row],[Revenue]]</f>
        <v>0.3582802547770701</v>
      </c>
    </row>
    <row r="165" spans="1:20" x14ac:dyDescent="0.3">
      <c r="A165">
        <v>10163</v>
      </c>
      <c r="B165" t="s">
        <v>162</v>
      </c>
      <c r="C165" t="s">
        <v>606</v>
      </c>
      <c r="D165" t="s">
        <v>620</v>
      </c>
      <c r="E165" t="s">
        <v>627</v>
      </c>
      <c r="F165" t="s">
        <v>788</v>
      </c>
      <c r="G165" t="s">
        <v>1763</v>
      </c>
      <c r="H165" t="s">
        <v>1769</v>
      </c>
      <c r="I165" t="s">
        <v>1775</v>
      </c>
      <c r="J165" t="s">
        <v>1776</v>
      </c>
      <c r="K165">
        <v>3</v>
      </c>
      <c r="L165" s="2">
        <v>245</v>
      </c>
      <c r="M165">
        <v>0.1</v>
      </c>
      <c r="N165" s="2">
        <v>149.02000000000001</v>
      </c>
      <c r="O165" s="2">
        <v>661.5</v>
      </c>
      <c r="P165" s="2">
        <v>447.06</v>
      </c>
      <c r="Q165" s="2">
        <v>214.44</v>
      </c>
      <c r="R165">
        <v>0</v>
      </c>
      <c r="S165" s="2" t="str">
        <f>TEXT(data[[#This Row],[Date]],"mmm yyyy")</f>
        <v>Aug 2024</v>
      </c>
      <c r="T165" s="8">
        <f>data[[#This Row],[Profit]]/data[[#This Row],[Revenue]]</f>
        <v>0.32417233560090702</v>
      </c>
    </row>
    <row r="166" spans="1:20" x14ac:dyDescent="0.3">
      <c r="A166">
        <v>10164</v>
      </c>
      <c r="B166" t="s">
        <v>163</v>
      </c>
      <c r="C166" t="s">
        <v>609</v>
      </c>
      <c r="D166" t="s">
        <v>622</v>
      </c>
      <c r="E166" t="s">
        <v>626</v>
      </c>
      <c r="F166" t="s">
        <v>789</v>
      </c>
      <c r="G166" t="s">
        <v>1761</v>
      </c>
      <c r="H166" t="s">
        <v>1770</v>
      </c>
      <c r="I166" t="s">
        <v>1774</v>
      </c>
      <c r="J166" t="s">
        <v>1776</v>
      </c>
      <c r="K166">
        <v>20</v>
      </c>
      <c r="L166" s="2">
        <v>672</v>
      </c>
      <c r="M166">
        <v>0.1</v>
      </c>
      <c r="N166" s="2">
        <v>441.55</v>
      </c>
      <c r="O166" s="2">
        <v>12096</v>
      </c>
      <c r="P166" s="2">
        <v>8831</v>
      </c>
      <c r="Q166" s="2">
        <v>3265</v>
      </c>
      <c r="R166">
        <v>0</v>
      </c>
      <c r="S166" s="2" t="str">
        <f>TEXT(data[[#This Row],[Date]],"mmm yyyy")</f>
        <v>Sep 2025</v>
      </c>
      <c r="T166" s="8">
        <f>data[[#This Row],[Profit]]/data[[#This Row],[Revenue]]</f>
        <v>0.2699239417989418</v>
      </c>
    </row>
    <row r="167" spans="1:20" x14ac:dyDescent="0.3">
      <c r="A167">
        <v>10165</v>
      </c>
      <c r="B167" t="s">
        <v>164</v>
      </c>
      <c r="C167" t="s">
        <v>607</v>
      </c>
      <c r="D167" t="s">
        <v>621</v>
      </c>
      <c r="E167" t="s">
        <v>626</v>
      </c>
      <c r="F167" t="s">
        <v>790</v>
      </c>
      <c r="G167" t="s">
        <v>1762</v>
      </c>
      <c r="H167" t="s">
        <v>1768</v>
      </c>
      <c r="I167" t="s">
        <v>1773</v>
      </c>
      <c r="J167" t="s">
        <v>1779</v>
      </c>
      <c r="K167">
        <v>4</v>
      </c>
      <c r="L167" s="2">
        <v>1094</v>
      </c>
      <c r="M167">
        <v>0.1</v>
      </c>
      <c r="N167" s="2">
        <v>642.05999999999995</v>
      </c>
      <c r="O167" s="2">
        <v>3938.4</v>
      </c>
      <c r="P167" s="2">
        <v>2568.2399999999998</v>
      </c>
      <c r="Q167" s="2">
        <v>1370.16</v>
      </c>
      <c r="R167">
        <v>0</v>
      </c>
      <c r="S167" s="2" t="str">
        <f>TEXT(data[[#This Row],[Date]],"mmm yyyy")</f>
        <v>May 2024</v>
      </c>
      <c r="T167" s="8">
        <f>data[[#This Row],[Profit]]/data[[#This Row],[Revenue]]</f>
        <v>0.34789762340036562</v>
      </c>
    </row>
    <row r="168" spans="1:20" x14ac:dyDescent="0.3">
      <c r="A168">
        <v>10166</v>
      </c>
      <c r="B168" t="s">
        <v>165</v>
      </c>
      <c r="C168" t="s">
        <v>608</v>
      </c>
      <c r="D168" t="s">
        <v>615</v>
      </c>
      <c r="E168" t="s">
        <v>627</v>
      </c>
      <c r="F168" t="s">
        <v>791</v>
      </c>
      <c r="G168" t="s">
        <v>1762</v>
      </c>
      <c r="H168" t="s">
        <v>1768</v>
      </c>
      <c r="I168" t="s">
        <v>1775</v>
      </c>
      <c r="J168" t="s">
        <v>1777</v>
      </c>
      <c r="K168">
        <v>5</v>
      </c>
      <c r="L168" s="2">
        <v>1323</v>
      </c>
      <c r="M168">
        <v>0.1</v>
      </c>
      <c r="N168" s="2">
        <v>964.33</v>
      </c>
      <c r="O168" s="2">
        <v>5953.5</v>
      </c>
      <c r="P168" s="2">
        <v>4821.6499999999996</v>
      </c>
      <c r="Q168" s="2">
        <v>1131.8499999999999</v>
      </c>
      <c r="R168">
        <v>0</v>
      </c>
      <c r="S168" s="2" t="str">
        <f>TEXT(data[[#This Row],[Date]],"mmm yyyy")</f>
        <v>Oct 2024</v>
      </c>
      <c r="T168" s="8">
        <f>data[[#This Row],[Profit]]/data[[#This Row],[Revenue]]</f>
        <v>0.19011505836902662</v>
      </c>
    </row>
    <row r="169" spans="1:20" x14ac:dyDescent="0.3">
      <c r="A169">
        <v>10167</v>
      </c>
      <c r="B169" t="s">
        <v>166</v>
      </c>
      <c r="C169" t="s">
        <v>607</v>
      </c>
      <c r="D169" t="s">
        <v>621</v>
      </c>
      <c r="E169" t="s">
        <v>629</v>
      </c>
      <c r="F169" t="s">
        <v>792</v>
      </c>
      <c r="G169" t="s">
        <v>1759</v>
      </c>
      <c r="H169" t="s">
        <v>1769</v>
      </c>
      <c r="I169" t="s">
        <v>1775</v>
      </c>
      <c r="J169" t="s">
        <v>1777</v>
      </c>
      <c r="K169">
        <v>15</v>
      </c>
      <c r="L169" s="2">
        <v>337</v>
      </c>
      <c r="M169">
        <v>0.2</v>
      </c>
      <c r="N169" s="2">
        <v>194.09</v>
      </c>
      <c r="O169" s="2">
        <v>4044</v>
      </c>
      <c r="P169" s="2">
        <v>2911.35</v>
      </c>
      <c r="Q169" s="2">
        <v>1132.6500000000001</v>
      </c>
      <c r="R169">
        <v>1</v>
      </c>
      <c r="S169" s="2" t="str">
        <f>TEXT(data[[#This Row],[Date]],"mmm yyyy")</f>
        <v>Apr 2025</v>
      </c>
      <c r="T169" s="8">
        <f>data[[#This Row],[Profit]]/data[[#This Row],[Revenue]]</f>
        <v>0.28008160237388724</v>
      </c>
    </row>
    <row r="170" spans="1:20" x14ac:dyDescent="0.3">
      <c r="A170">
        <v>10168</v>
      </c>
      <c r="B170" t="s">
        <v>167</v>
      </c>
      <c r="C170" t="s">
        <v>608</v>
      </c>
      <c r="D170" t="s">
        <v>615</v>
      </c>
      <c r="E170" t="s">
        <v>629</v>
      </c>
      <c r="F170" t="s">
        <v>793</v>
      </c>
      <c r="G170" t="s">
        <v>1762</v>
      </c>
      <c r="H170" t="s">
        <v>1769</v>
      </c>
      <c r="I170" t="s">
        <v>1775</v>
      </c>
      <c r="J170" t="s">
        <v>1777</v>
      </c>
      <c r="K170">
        <v>1</v>
      </c>
      <c r="L170" s="2">
        <v>352</v>
      </c>
      <c r="M170">
        <v>0.1</v>
      </c>
      <c r="N170" s="2">
        <v>190.28</v>
      </c>
      <c r="O170" s="2">
        <v>316.8</v>
      </c>
      <c r="P170" s="2">
        <v>190.28</v>
      </c>
      <c r="Q170" s="2">
        <v>126.52</v>
      </c>
      <c r="R170">
        <v>0</v>
      </c>
      <c r="S170" s="2" t="str">
        <f>TEXT(data[[#This Row],[Date]],"mmm yyyy")</f>
        <v>Nov 2024</v>
      </c>
      <c r="T170" s="8">
        <f>data[[#This Row],[Profit]]/data[[#This Row],[Revenue]]</f>
        <v>0.39936868686868682</v>
      </c>
    </row>
    <row r="171" spans="1:20" x14ac:dyDescent="0.3">
      <c r="A171">
        <v>10169</v>
      </c>
      <c r="B171" t="s">
        <v>168</v>
      </c>
      <c r="C171" t="s">
        <v>606</v>
      </c>
      <c r="D171" t="s">
        <v>620</v>
      </c>
      <c r="E171" t="s">
        <v>626</v>
      </c>
      <c r="F171" t="s">
        <v>794</v>
      </c>
      <c r="G171" t="s">
        <v>1763</v>
      </c>
      <c r="H171" t="s">
        <v>1768</v>
      </c>
      <c r="I171" t="s">
        <v>1775</v>
      </c>
      <c r="J171" t="s">
        <v>1778</v>
      </c>
      <c r="K171">
        <v>18</v>
      </c>
      <c r="L171" s="2">
        <v>962</v>
      </c>
      <c r="M171">
        <v>0</v>
      </c>
      <c r="N171" s="2">
        <v>626.72</v>
      </c>
      <c r="O171" s="2">
        <v>17316</v>
      </c>
      <c r="P171" s="2">
        <v>11280.96</v>
      </c>
      <c r="Q171" s="2">
        <v>6035.04</v>
      </c>
      <c r="R171">
        <v>0</v>
      </c>
      <c r="S171" s="2" t="str">
        <f>TEXT(data[[#This Row],[Date]],"mmm yyyy")</f>
        <v>Mar 2025</v>
      </c>
      <c r="T171" s="8">
        <f>data[[#This Row],[Profit]]/data[[#This Row],[Revenue]]</f>
        <v>0.34852390852390852</v>
      </c>
    </row>
    <row r="172" spans="1:20" x14ac:dyDescent="0.3">
      <c r="A172">
        <v>10170</v>
      </c>
      <c r="B172" t="s">
        <v>169</v>
      </c>
      <c r="C172" t="s">
        <v>609</v>
      </c>
      <c r="D172" t="s">
        <v>613</v>
      </c>
      <c r="E172" t="s">
        <v>627</v>
      </c>
      <c r="F172" t="s">
        <v>795</v>
      </c>
      <c r="G172" t="s">
        <v>1761</v>
      </c>
      <c r="H172" t="s">
        <v>1770</v>
      </c>
      <c r="I172" t="s">
        <v>1774</v>
      </c>
      <c r="J172" t="s">
        <v>1779</v>
      </c>
      <c r="K172">
        <v>14</v>
      </c>
      <c r="L172" s="2">
        <v>558</v>
      </c>
      <c r="M172">
        <v>0.1</v>
      </c>
      <c r="N172" s="2">
        <v>372.22</v>
      </c>
      <c r="O172" s="2">
        <v>7030.8</v>
      </c>
      <c r="P172" s="2">
        <v>5211.08</v>
      </c>
      <c r="Q172" s="2">
        <v>1819.72</v>
      </c>
      <c r="R172">
        <v>0</v>
      </c>
      <c r="S172" s="2" t="str">
        <f>TEXT(data[[#This Row],[Date]],"mmm yyyy")</f>
        <v>Nov 2025</v>
      </c>
      <c r="T172" s="8">
        <f>data[[#This Row],[Profit]]/data[[#This Row],[Revenue]]</f>
        <v>0.258821186778176</v>
      </c>
    </row>
    <row r="173" spans="1:20" x14ac:dyDescent="0.3">
      <c r="A173">
        <v>10171</v>
      </c>
      <c r="B173" t="s">
        <v>137</v>
      </c>
      <c r="C173" t="s">
        <v>606</v>
      </c>
      <c r="D173" t="s">
        <v>610</v>
      </c>
      <c r="E173" t="s">
        <v>628</v>
      </c>
      <c r="F173" t="s">
        <v>796</v>
      </c>
      <c r="G173" t="s">
        <v>1763</v>
      </c>
      <c r="H173" t="s">
        <v>1767</v>
      </c>
      <c r="I173" t="s">
        <v>1775</v>
      </c>
      <c r="J173" t="s">
        <v>1776</v>
      </c>
      <c r="K173">
        <v>1</v>
      </c>
      <c r="L173" s="2">
        <v>106</v>
      </c>
      <c r="M173">
        <v>0.15</v>
      </c>
      <c r="N173" s="2">
        <v>73.290000000000006</v>
      </c>
      <c r="O173" s="2">
        <v>90.1</v>
      </c>
      <c r="P173" s="2">
        <v>73.290000000000006</v>
      </c>
      <c r="Q173" s="2">
        <v>16.809999999999999</v>
      </c>
      <c r="R173">
        <v>0</v>
      </c>
      <c r="S173" s="2" t="str">
        <f>TEXT(data[[#This Row],[Date]],"mmm yyyy")</f>
        <v>May 2025</v>
      </c>
      <c r="T173" s="8">
        <f>data[[#This Row],[Profit]]/data[[#This Row],[Revenue]]</f>
        <v>0.18657047724750278</v>
      </c>
    </row>
    <row r="174" spans="1:20" x14ac:dyDescent="0.3">
      <c r="A174">
        <v>10172</v>
      </c>
      <c r="B174" t="s">
        <v>170</v>
      </c>
      <c r="C174" t="s">
        <v>607</v>
      </c>
      <c r="D174" t="s">
        <v>611</v>
      </c>
      <c r="E174" t="s">
        <v>628</v>
      </c>
      <c r="F174" t="s">
        <v>797</v>
      </c>
      <c r="G174" t="s">
        <v>1760</v>
      </c>
      <c r="H174" t="s">
        <v>1770</v>
      </c>
      <c r="I174" t="s">
        <v>1774</v>
      </c>
      <c r="J174" t="s">
        <v>1779</v>
      </c>
      <c r="K174">
        <v>10</v>
      </c>
      <c r="L174" s="2">
        <v>868</v>
      </c>
      <c r="M174">
        <v>0.1</v>
      </c>
      <c r="N174" s="2">
        <v>497.56</v>
      </c>
      <c r="O174" s="2">
        <v>7812</v>
      </c>
      <c r="P174" s="2">
        <v>4975.6000000000004</v>
      </c>
      <c r="Q174" s="2">
        <v>2836.4</v>
      </c>
      <c r="R174">
        <v>1</v>
      </c>
      <c r="S174" s="2" t="str">
        <f>TEXT(data[[#This Row],[Date]],"mmm yyyy")</f>
        <v>Jun 2025</v>
      </c>
      <c r="T174" s="8">
        <f>data[[#This Row],[Profit]]/data[[#This Row],[Revenue]]</f>
        <v>0.36308243727598566</v>
      </c>
    </row>
    <row r="175" spans="1:20" x14ac:dyDescent="0.3">
      <c r="A175">
        <v>10173</v>
      </c>
      <c r="B175" t="s">
        <v>171</v>
      </c>
      <c r="C175" t="s">
        <v>607</v>
      </c>
      <c r="D175" t="s">
        <v>611</v>
      </c>
      <c r="E175" t="s">
        <v>628</v>
      </c>
      <c r="F175" t="s">
        <v>798</v>
      </c>
      <c r="G175" t="s">
        <v>1761</v>
      </c>
      <c r="H175" t="s">
        <v>1772</v>
      </c>
      <c r="I175" t="s">
        <v>1775</v>
      </c>
      <c r="J175" t="s">
        <v>1778</v>
      </c>
      <c r="K175">
        <v>18</v>
      </c>
      <c r="L175" s="2">
        <v>688</v>
      </c>
      <c r="M175">
        <v>0.1</v>
      </c>
      <c r="N175" s="2">
        <v>482.11</v>
      </c>
      <c r="O175" s="2">
        <v>11145.6</v>
      </c>
      <c r="P175" s="2">
        <v>8677.98</v>
      </c>
      <c r="Q175" s="2">
        <v>2467.62</v>
      </c>
      <c r="R175">
        <v>1</v>
      </c>
      <c r="S175" s="2" t="str">
        <f>TEXT(data[[#This Row],[Date]],"mmm yyyy")</f>
        <v>Aug 2025</v>
      </c>
      <c r="T175" s="8">
        <f>data[[#This Row],[Profit]]/data[[#This Row],[Revenue]]</f>
        <v>0.22139857881136948</v>
      </c>
    </row>
    <row r="176" spans="1:20" x14ac:dyDescent="0.3">
      <c r="A176">
        <v>10174</v>
      </c>
      <c r="B176" t="s">
        <v>172</v>
      </c>
      <c r="C176" t="s">
        <v>608</v>
      </c>
      <c r="D176" t="s">
        <v>612</v>
      </c>
      <c r="E176" t="s">
        <v>629</v>
      </c>
      <c r="F176" t="s">
        <v>799</v>
      </c>
      <c r="G176" t="s">
        <v>1763</v>
      </c>
      <c r="H176" t="s">
        <v>1771</v>
      </c>
      <c r="I176" t="s">
        <v>1774</v>
      </c>
      <c r="J176" t="s">
        <v>1779</v>
      </c>
      <c r="K176">
        <v>1</v>
      </c>
      <c r="L176" s="2">
        <v>518</v>
      </c>
      <c r="M176">
        <v>0</v>
      </c>
      <c r="N176" s="2">
        <v>265.14</v>
      </c>
      <c r="O176" s="2">
        <v>518</v>
      </c>
      <c r="P176" s="2">
        <v>265.14</v>
      </c>
      <c r="Q176" s="2">
        <v>252.86</v>
      </c>
      <c r="R176">
        <v>1</v>
      </c>
      <c r="S176" s="2" t="str">
        <f>TEXT(data[[#This Row],[Date]],"mmm yyyy")</f>
        <v>Nov 2024</v>
      </c>
      <c r="T176" s="8">
        <f>data[[#This Row],[Profit]]/data[[#This Row],[Revenue]]</f>
        <v>0.48814671814671817</v>
      </c>
    </row>
    <row r="177" spans="1:20" x14ac:dyDescent="0.3">
      <c r="A177">
        <v>10175</v>
      </c>
      <c r="B177" t="s">
        <v>173</v>
      </c>
      <c r="C177" t="s">
        <v>607</v>
      </c>
      <c r="D177" t="s">
        <v>611</v>
      </c>
      <c r="E177" t="s">
        <v>626</v>
      </c>
      <c r="F177" t="s">
        <v>800</v>
      </c>
      <c r="G177" t="s">
        <v>1759</v>
      </c>
      <c r="H177" t="s">
        <v>1772</v>
      </c>
      <c r="I177" t="s">
        <v>1773</v>
      </c>
      <c r="J177" t="s">
        <v>1779</v>
      </c>
      <c r="K177">
        <v>20</v>
      </c>
      <c r="L177" s="2">
        <v>541</v>
      </c>
      <c r="M177">
        <v>0.1</v>
      </c>
      <c r="N177" s="2">
        <v>331.78</v>
      </c>
      <c r="O177" s="2">
        <v>9738</v>
      </c>
      <c r="P177" s="2">
        <v>6635.6</v>
      </c>
      <c r="Q177" s="2">
        <v>3102.4</v>
      </c>
      <c r="R177">
        <v>0</v>
      </c>
      <c r="S177" s="2" t="str">
        <f>TEXT(data[[#This Row],[Date]],"mmm yyyy")</f>
        <v>Nov 2025</v>
      </c>
      <c r="T177" s="8">
        <f>data[[#This Row],[Profit]]/data[[#This Row],[Revenue]]</f>
        <v>0.31858697884575887</v>
      </c>
    </row>
    <row r="178" spans="1:20" x14ac:dyDescent="0.3">
      <c r="A178">
        <v>10176</v>
      </c>
      <c r="B178" t="s">
        <v>174</v>
      </c>
      <c r="C178" t="s">
        <v>606</v>
      </c>
      <c r="D178" t="s">
        <v>616</v>
      </c>
      <c r="E178" t="s">
        <v>628</v>
      </c>
      <c r="F178" t="s">
        <v>801</v>
      </c>
      <c r="G178" t="s">
        <v>1766</v>
      </c>
      <c r="H178" t="s">
        <v>1770</v>
      </c>
      <c r="I178" t="s">
        <v>1774</v>
      </c>
      <c r="J178" t="s">
        <v>1776</v>
      </c>
      <c r="K178">
        <v>19</v>
      </c>
      <c r="L178" s="2">
        <v>974</v>
      </c>
      <c r="M178">
        <v>0.05</v>
      </c>
      <c r="N178" s="2">
        <v>701.24</v>
      </c>
      <c r="O178" s="2">
        <v>17580.7</v>
      </c>
      <c r="P178" s="2">
        <v>13323.56</v>
      </c>
      <c r="Q178" s="2">
        <v>4257.1400000000003</v>
      </c>
      <c r="R178">
        <v>1</v>
      </c>
      <c r="S178" s="2" t="str">
        <f>TEXT(data[[#This Row],[Date]],"mmm yyyy")</f>
        <v>May 2025</v>
      </c>
      <c r="T178" s="8">
        <f>data[[#This Row],[Profit]]/data[[#This Row],[Revenue]]</f>
        <v>0.24214849238084946</v>
      </c>
    </row>
    <row r="179" spans="1:20" x14ac:dyDescent="0.3">
      <c r="A179">
        <v>10177</v>
      </c>
      <c r="B179" t="s">
        <v>175</v>
      </c>
      <c r="C179" t="s">
        <v>608</v>
      </c>
      <c r="D179" t="s">
        <v>612</v>
      </c>
      <c r="E179" t="s">
        <v>629</v>
      </c>
      <c r="F179" t="s">
        <v>802</v>
      </c>
      <c r="G179" t="s">
        <v>1763</v>
      </c>
      <c r="H179" t="s">
        <v>1772</v>
      </c>
      <c r="I179" t="s">
        <v>1774</v>
      </c>
      <c r="J179" t="s">
        <v>1777</v>
      </c>
      <c r="K179">
        <v>3</v>
      </c>
      <c r="L179" s="2">
        <v>875</v>
      </c>
      <c r="M179">
        <v>0.1</v>
      </c>
      <c r="N179" s="2">
        <v>549.63</v>
      </c>
      <c r="O179" s="2">
        <v>2362.5</v>
      </c>
      <c r="P179" s="2">
        <v>1648.89</v>
      </c>
      <c r="Q179" s="2">
        <v>713.61</v>
      </c>
      <c r="R179">
        <v>0</v>
      </c>
      <c r="S179" s="2" t="str">
        <f>TEXT(data[[#This Row],[Date]],"mmm yyyy")</f>
        <v>Nov 2025</v>
      </c>
      <c r="T179" s="8">
        <f>data[[#This Row],[Profit]]/data[[#This Row],[Revenue]]</f>
        <v>0.30205714285714286</v>
      </c>
    </row>
    <row r="180" spans="1:20" x14ac:dyDescent="0.3">
      <c r="A180">
        <v>10178</v>
      </c>
      <c r="B180" t="s">
        <v>176</v>
      </c>
      <c r="C180" t="s">
        <v>606</v>
      </c>
      <c r="D180" t="s">
        <v>610</v>
      </c>
      <c r="E180" t="s">
        <v>626</v>
      </c>
      <c r="F180" t="s">
        <v>803</v>
      </c>
      <c r="G180" t="s">
        <v>1760</v>
      </c>
      <c r="H180" t="s">
        <v>1769</v>
      </c>
      <c r="I180" t="s">
        <v>1773</v>
      </c>
      <c r="J180" t="s">
        <v>1778</v>
      </c>
      <c r="K180">
        <v>14</v>
      </c>
      <c r="L180" s="2">
        <v>246</v>
      </c>
      <c r="M180">
        <v>0.05</v>
      </c>
      <c r="N180" s="2">
        <v>126.7</v>
      </c>
      <c r="O180" s="2">
        <v>3271.8</v>
      </c>
      <c r="P180" s="2">
        <v>1773.8</v>
      </c>
      <c r="Q180" s="2">
        <v>1498</v>
      </c>
      <c r="R180">
        <v>0</v>
      </c>
      <c r="S180" s="2" t="str">
        <f>TEXT(data[[#This Row],[Date]],"mmm yyyy")</f>
        <v>Dec 2024</v>
      </c>
      <c r="T180" s="8">
        <f>data[[#This Row],[Profit]]/data[[#This Row],[Revenue]]</f>
        <v>0.457851946940522</v>
      </c>
    </row>
    <row r="181" spans="1:20" x14ac:dyDescent="0.3">
      <c r="A181">
        <v>10179</v>
      </c>
      <c r="B181" t="s">
        <v>177</v>
      </c>
      <c r="C181" t="s">
        <v>609</v>
      </c>
      <c r="D181" t="s">
        <v>623</v>
      </c>
      <c r="E181" t="s">
        <v>627</v>
      </c>
      <c r="F181" t="s">
        <v>804</v>
      </c>
      <c r="G181" t="s">
        <v>1762</v>
      </c>
      <c r="H181" t="s">
        <v>1767</v>
      </c>
      <c r="I181" t="s">
        <v>1774</v>
      </c>
      <c r="J181" t="s">
        <v>1777</v>
      </c>
      <c r="K181">
        <v>4</v>
      </c>
      <c r="L181" s="2">
        <v>295</v>
      </c>
      <c r="M181">
        <v>0.2</v>
      </c>
      <c r="N181" s="2">
        <v>148.63999999999999</v>
      </c>
      <c r="O181" s="2">
        <v>944</v>
      </c>
      <c r="P181" s="2">
        <v>594.55999999999995</v>
      </c>
      <c r="Q181" s="2">
        <v>349.44</v>
      </c>
      <c r="R181">
        <v>0</v>
      </c>
      <c r="S181" s="2" t="str">
        <f>TEXT(data[[#This Row],[Date]],"mmm yyyy")</f>
        <v>Jul 2024</v>
      </c>
      <c r="T181" s="8">
        <f>data[[#This Row],[Profit]]/data[[#This Row],[Revenue]]</f>
        <v>0.37016949152542372</v>
      </c>
    </row>
    <row r="182" spans="1:20" x14ac:dyDescent="0.3">
      <c r="A182">
        <v>10180</v>
      </c>
      <c r="B182" t="s">
        <v>32</v>
      </c>
      <c r="C182" t="s">
        <v>608</v>
      </c>
      <c r="D182" t="s">
        <v>615</v>
      </c>
      <c r="E182" t="s">
        <v>626</v>
      </c>
      <c r="F182" t="s">
        <v>805</v>
      </c>
      <c r="G182" t="s">
        <v>1765</v>
      </c>
      <c r="H182" t="s">
        <v>1769</v>
      </c>
      <c r="I182" t="s">
        <v>1774</v>
      </c>
      <c r="J182" t="s">
        <v>1779</v>
      </c>
      <c r="K182">
        <v>5</v>
      </c>
      <c r="L182" s="2">
        <v>212</v>
      </c>
      <c r="M182">
        <v>0.05</v>
      </c>
      <c r="N182" s="2">
        <v>133.47999999999999</v>
      </c>
      <c r="O182" s="2">
        <v>1007</v>
      </c>
      <c r="P182" s="2">
        <v>667.4</v>
      </c>
      <c r="Q182" s="2">
        <v>339.6</v>
      </c>
      <c r="R182">
        <v>0</v>
      </c>
      <c r="S182" s="2" t="str">
        <f>TEXT(data[[#This Row],[Date]],"mmm yyyy")</f>
        <v>Jan 2024</v>
      </c>
      <c r="T182" s="8">
        <f>data[[#This Row],[Profit]]/data[[#This Row],[Revenue]]</f>
        <v>0.33723932472691165</v>
      </c>
    </row>
    <row r="183" spans="1:20" x14ac:dyDescent="0.3">
      <c r="A183">
        <v>10181</v>
      </c>
      <c r="B183" t="s">
        <v>178</v>
      </c>
      <c r="C183" t="s">
        <v>607</v>
      </c>
      <c r="D183" t="s">
        <v>611</v>
      </c>
      <c r="E183" t="s">
        <v>629</v>
      </c>
      <c r="F183" t="s">
        <v>806</v>
      </c>
      <c r="G183" t="s">
        <v>1760</v>
      </c>
      <c r="H183" t="s">
        <v>1768</v>
      </c>
      <c r="I183" t="s">
        <v>1775</v>
      </c>
      <c r="J183" t="s">
        <v>1776</v>
      </c>
      <c r="K183">
        <v>19</v>
      </c>
      <c r="L183" s="2">
        <v>812</v>
      </c>
      <c r="M183">
        <v>0.1</v>
      </c>
      <c r="N183" s="2">
        <v>435.22</v>
      </c>
      <c r="O183" s="2">
        <v>13885.2</v>
      </c>
      <c r="P183" s="2">
        <v>8269.18</v>
      </c>
      <c r="Q183" s="2">
        <v>5616.02</v>
      </c>
      <c r="R183">
        <v>0</v>
      </c>
      <c r="S183" s="2" t="str">
        <f>TEXT(data[[#This Row],[Date]],"mmm yyyy")</f>
        <v>Dec 2024</v>
      </c>
      <c r="T183" s="8">
        <f>data[[#This Row],[Profit]]/data[[#This Row],[Revenue]]</f>
        <v>0.40446086480569238</v>
      </c>
    </row>
    <row r="184" spans="1:20" x14ac:dyDescent="0.3">
      <c r="A184">
        <v>10182</v>
      </c>
      <c r="B184" t="s">
        <v>160</v>
      </c>
      <c r="C184" t="s">
        <v>609</v>
      </c>
      <c r="D184" t="s">
        <v>623</v>
      </c>
      <c r="E184" t="s">
        <v>626</v>
      </c>
      <c r="F184" t="s">
        <v>807</v>
      </c>
      <c r="G184" t="s">
        <v>1760</v>
      </c>
      <c r="H184" t="s">
        <v>1771</v>
      </c>
      <c r="I184" t="s">
        <v>1774</v>
      </c>
      <c r="J184" t="s">
        <v>1777</v>
      </c>
      <c r="K184">
        <v>20</v>
      </c>
      <c r="L184" s="2">
        <v>530</v>
      </c>
      <c r="M184">
        <v>0.15</v>
      </c>
      <c r="N184" s="2">
        <v>267.58999999999997</v>
      </c>
      <c r="O184" s="2">
        <v>9010</v>
      </c>
      <c r="P184" s="2">
        <v>5351.8</v>
      </c>
      <c r="Q184" s="2">
        <v>3658.2</v>
      </c>
      <c r="R184">
        <v>0</v>
      </c>
      <c r="S184" s="2" t="str">
        <f>TEXT(data[[#This Row],[Date]],"mmm yyyy")</f>
        <v>Feb 2025</v>
      </c>
      <c r="T184" s="8">
        <f>data[[#This Row],[Profit]]/data[[#This Row],[Revenue]]</f>
        <v>0.40601553829078801</v>
      </c>
    </row>
    <row r="185" spans="1:20" x14ac:dyDescent="0.3">
      <c r="A185">
        <v>10183</v>
      </c>
      <c r="B185" t="s">
        <v>179</v>
      </c>
      <c r="C185" t="s">
        <v>608</v>
      </c>
      <c r="D185" t="s">
        <v>618</v>
      </c>
      <c r="E185" t="s">
        <v>628</v>
      </c>
      <c r="F185" t="s">
        <v>808</v>
      </c>
      <c r="G185" t="s">
        <v>1764</v>
      </c>
      <c r="H185" t="s">
        <v>1768</v>
      </c>
      <c r="I185" t="s">
        <v>1773</v>
      </c>
      <c r="J185" t="s">
        <v>1777</v>
      </c>
      <c r="K185">
        <v>19</v>
      </c>
      <c r="L185" s="2">
        <v>963</v>
      </c>
      <c r="M185">
        <v>0.05</v>
      </c>
      <c r="N185" s="2">
        <v>557.29</v>
      </c>
      <c r="O185" s="2">
        <v>17382.150000000001</v>
      </c>
      <c r="P185" s="2">
        <v>10588.51</v>
      </c>
      <c r="Q185" s="2">
        <v>6793.64</v>
      </c>
      <c r="R185">
        <v>1</v>
      </c>
      <c r="S185" s="2" t="str">
        <f>TEXT(data[[#This Row],[Date]],"mmm yyyy")</f>
        <v>Nov 2024</v>
      </c>
      <c r="T185" s="8">
        <f>data[[#This Row],[Profit]]/data[[#This Row],[Revenue]]</f>
        <v>0.39084002841995952</v>
      </c>
    </row>
    <row r="186" spans="1:20" x14ac:dyDescent="0.3">
      <c r="A186">
        <v>10184</v>
      </c>
      <c r="B186" t="s">
        <v>180</v>
      </c>
      <c r="C186" t="s">
        <v>607</v>
      </c>
      <c r="D186" t="s">
        <v>621</v>
      </c>
      <c r="E186" t="s">
        <v>627</v>
      </c>
      <c r="F186" t="s">
        <v>809</v>
      </c>
      <c r="G186" t="s">
        <v>1766</v>
      </c>
      <c r="H186" t="s">
        <v>1767</v>
      </c>
      <c r="I186" t="s">
        <v>1775</v>
      </c>
      <c r="J186" t="s">
        <v>1777</v>
      </c>
      <c r="K186">
        <v>13</v>
      </c>
      <c r="L186" s="2">
        <v>159</v>
      </c>
      <c r="M186">
        <v>0.15</v>
      </c>
      <c r="N186" s="2">
        <v>80.39</v>
      </c>
      <c r="O186" s="2">
        <v>1756.95</v>
      </c>
      <c r="P186" s="2">
        <v>1045.07</v>
      </c>
      <c r="Q186" s="2">
        <v>711.88</v>
      </c>
      <c r="R186">
        <v>0</v>
      </c>
      <c r="S186" s="2" t="str">
        <f>TEXT(data[[#This Row],[Date]],"mmm yyyy")</f>
        <v>Mar 2024</v>
      </c>
      <c r="T186" s="8">
        <f>data[[#This Row],[Profit]]/data[[#This Row],[Revenue]]</f>
        <v>0.40517943026267111</v>
      </c>
    </row>
    <row r="187" spans="1:20" x14ac:dyDescent="0.3">
      <c r="A187">
        <v>10185</v>
      </c>
      <c r="B187" t="s">
        <v>156</v>
      </c>
      <c r="C187" t="s">
        <v>609</v>
      </c>
      <c r="D187" t="s">
        <v>623</v>
      </c>
      <c r="E187" t="s">
        <v>628</v>
      </c>
      <c r="F187" t="s">
        <v>810</v>
      </c>
      <c r="G187" t="s">
        <v>1761</v>
      </c>
      <c r="H187" t="s">
        <v>1767</v>
      </c>
      <c r="I187" t="s">
        <v>1775</v>
      </c>
      <c r="J187" t="s">
        <v>1778</v>
      </c>
      <c r="K187">
        <v>12</v>
      </c>
      <c r="L187" s="2">
        <v>223</v>
      </c>
      <c r="M187">
        <v>0</v>
      </c>
      <c r="N187" s="2">
        <v>130.18</v>
      </c>
      <c r="O187" s="2">
        <v>2676</v>
      </c>
      <c r="P187" s="2">
        <v>1562.16</v>
      </c>
      <c r="Q187" s="2">
        <v>1113.8399999999999</v>
      </c>
      <c r="R187">
        <v>1</v>
      </c>
      <c r="S187" s="2" t="str">
        <f>TEXT(data[[#This Row],[Date]],"mmm yyyy")</f>
        <v>Dec 2024</v>
      </c>
      <c r="T187" s="8">
        <f>data[[#This Row],[Profit]]/data[[#This Row],[Revenue]]</f>
        <v>0.41623318385650221</v>
      </c>
    </row>
    <row r="188" spans="1:20" x14ac:dyDescent="0.3">
      <c r="A188">
        <v>10186</v>
      </c>
      <c r="B188" t="s">
        <v>45</v>
      </c>
      <c r="C188" t="s">
        <v>608</v>
      </c>
      <c r="D188" t="s">
        <v>615</v>
      </c>
      <c r="E188" t="s">
        <v>626</v>
      </c>
      <c r="F188" t="s">
        <v>811</v>
      </c>
      <c r="G188" t="s">
        <v>1765</v>
      </c>
      <c r="H188" t="s">
        <v>1771</v>
      </c>
      <c r="I188" t="s">
        <v>1773</v>
      </c>
      <c r="J188" t="s">
        <v>1777</v>
      </c>
      <c r="K188">
        <v>10</v>
      </c>
      <c r="L188" s="2">
        <v>539</v>
      </c>
      <c r="M188">
        <v>0.1</v>
      </c>
      <c r="N188" s="2">
        <v>301.45999999999998</v>
      </c>
      <c r="O188" s="2">
        <v>4851</v>
      </c>
      <c r="P188" s="2">
        <v>3014.6</v>
      </c>
      <c r="Q188" s="2">
        <v>1836.4</v>
      </c>
      <c r="R188">
        <v>0</v>
      </c>
      <c r="S188" s="2" t="str">
        <f>TEXT(data[[#This Row],[Date]],"mmm yyyy")</f>
        <v>Oct 2024</v>
      </c>
      <c r="T188" s="8">
        <f>data[[#This Row],[Profit]]/data[[#This Row],[Revenue]]</f>
        <v>0.37856112141826431</v>
      </c>
    </row>
    <row r="189" spans="1:20" x14ac:dyDescent="0.3">
      <c r="A189">
        <v>10187</v>
      </c>
      <c r="B189" t="s">
        <v>181</v>
      </c>
      <c r="C189" t="s">
        <v>609</v>
      </c>
      <c r="D189" t="s">
        <v>613</v>
      </c>
      <c r="E189" t="s">
        <v>629</v>
      </c>
      <c r="F189" t="s">
        <v>812</v>
      </c>
      <c r="G189" t="s">
        <v>1759</v>
      </c>
      <c r="H189" t="s">
        <v>1772</v>
      </c>
      <c r="I189" t="s">
        <v>1774</v>
      </c>
      <c r="J189" t="s">
        <v>1779</v>
      </c>
      <c r="K189">
        <v>5</v>
      </c>
      <c r="L189" s="2">
        <v>1057</v>
      </c>
      <c r="M189">
        <v>0.2</v>
      </c>
      <c r="N189" s="2">
        <v>645.64</v>
      </c>
      <c r="O189" s="2">
        <v>4228</v>
      </c>
      <c r="P189" s="2">
        <v>3228.2</v>
      </c>
      <c r="Q189" s="2">
        <v>999.8</v>
      </c>
      <c r="R189">
        <v>0</v>
      </c>
      <c r="S189" s="2" t="str">
        <f>TEXT(data[[#This Row],[Date]],"mmm yyyy")</f>
        <v>Jun 2024</v>
      </c>
      <c r="T189" s="8">
        <f>data[[#This Row],[Profit]]/data[[#This Row],[Revenue]]</f>
        <v>0.23647114474929043</v>
      </c>
    </row>
    <row r="190" spans="1:20" x14ac:dyDescent="0.3">
      <c r="A190">
        <v>10188</v>
      </c>
      <c r="B190" t="s">
        <v>169</v>
      </c>
      <c r="C190" t="s">
        <v>607</v>
      </c>
      <c r="D190" t="s">
        <v>621</v>
      </c>
      <c r="E190" t="s">
        <v>627</v>
      </c>
      <c r="F190" t="s">
        <v>813</v>
      </c>
      <c r="G190" t="s">
        <v>1764</v>
      </c>
      <c r="H190" t="s">
        <v>1772</v>
      </c>
      <c r="I190" t="s">
        <v>1774</v>
      </c>
      <c r="J190" t="s">
        <v>1778</v>
      </c>
      <c r="K190">
        <v>17</v>
      </c>
      <c r="L190" s="2">
        <v>987</v>
      </c>
      <c r="M190">
        <v>0.05</v>
      </c>
      <c r="N190" s="2">
        <v>549.58000000000004</v>
      </c>
      <c r="O190" s="2">
        <v>15940.05</v>
      </c>
      <c r="P190" s="2">
        <v>9342.86</v>
      </c>
      <c r="Q190" s="2">
        <v>6597.19</v>
      </c>
      <c r="R190">
        <v>1</v>
      </c>
      <c r="S190" s="2" t="str">
        <f>TEXT(data[[#This Row],[Date]],"mmm yyyy")</f>
        <v>Nov 2025</v>
      </c>
      <c r="T190" s="8">
        <f>data[[#This Row],[Profit]]/data[[#This Row],[Revenue]]</f>
        <v>0.41387511331520288</v>
      </c>
    </row>
    <row r="191" spans="1:20" x14ac:dyDescent="0.3">
      <c r="A191">
        <v>10189</v>
      </c>
      <c r="B191" t="s">
        <v>182</v>
      </c>
      <c r="C191" t="s">
        <v>608</v>
      </c>
      <c r="D191" t="s">
        <v>615</v>
      </c>
      <c r="E191" t="s">
        <v>626</v>
      </c>
      <c r="F191" t="s">
        <v>814</v>
      </c>
      <c r="G191" t="s">
        <v>1762</v>
      </c>
      <c r="H191" t="s">
        <v>1769</v>
      </c>
      <c r="I191" t="s">
        <v>1774</v>
      </c>
      <c r="J191" t="s">
        <v>1779</v>
      </c>
      <c r="K191">
        <v>7</v>
      </c>
      <c r="L191" s="2">
        <v>411</v>
      </c>
      <c r="M191">
        <v>0.05</v>
      </c>
      <c r="N191" s="2">
        <v>295.14</v>
      </c>
      <c r="O191" s="2">
        <v>2733.15</v>
      </c>
      <c r="P191" s="2">
        <v>2065.98</v>
      </c>
      <c r="Q191" s="2">
        <v>667.17</v>
      </c>
      <c r="R191">
        <v>0</v>
      </c>
      <c r="S191" s="2" t="str">
        <f>TEXT(data[[#This Row],[Date]],"mmm yyyy")</f>
        <v>Nov 2025</v>
      </c>
      <c r="T191" s="8">
        <f>data[[#This Row],[Profit]]/data[[#This Row],[Revenue]]</f>
        <v>0.24410295812524008</v>
      </c>
    </row>
    <row r="192" spans="1:20" x14ac:dyDescent="0.3">
      <c r="A192">
        <v>10190</v>
      </c>
      <c r="B192" t="s">
        <v>112</v>
      </c>
      <c r="C192" t="s">
        <v>609</v>
      </c>
      <c r="D192" t="s">
        <v>613</v>
      </c>
      <c r="E192" t="s">
        <v>627</v>
      </c>
      <c r="F192" t="s">
        <v>815</v>
      </c>
      <c r="G192" t="s">
        <v>1761</v>
      </c>
      <c r="H192" t="s">
        <v>1772</v>
      </c>
      <c r="I192" t="s">
        <v>1774</v>
      </c>
      <c r="J192" t="s">
        <v>1778</v>
      </c>
      <c r="K192">
        <v>13</v>
      </c>
      <c r="L192" s="2">
        <v>515</v>
      </c>
      <c r="M192">
        <v>0</v>
      </c>
      <c r="N192" s="2">
        <v>346.94</v>
      </c>
      <c r="O192" s="2">
        <v>6695</v>
      </c>
      <c r="P192" s="2">
        <v>4510.22</v>
      </c>
      <c r="Q192" s="2">
        <v>2184.7800000000002</v>
      </c>
      <c r="R192">
        <v>0</v>
      </c>
      <c r="S192" s="2" t="str">
        <f>TEXT(data[[#This Row],[Date]],"mmm yyyy")</f>
        <v>Nov 2024</v>
      </c>
      <c r="T192" s="8">
        <f>data[[#This Row],[Profit]]/data[[#This Row],[Revenue]]</f>
        <v>0.32633009708737865</v>
      </c>
    </row>
    <row r="193" spans="1:20" x14ac:dyDescent="0.3">
      <c r="A193">
        <v>10191</v>
      </c>
      <c r="B193" t="s">
        <v>183</v>
      </c>
      <c r="C193" t="s">
        <v>606</v>
      </c>
      <c r="D193" t="s">
        <v>610</v>
      </c>
      <c r="E193" t="s">
        <v>629</v>
      </c>
      <c r="F193" t="s">
        <v>816</v>
      </c>
      <c r="G193" t="s">
        <v>1764</v>
      </c>
      <c r="H193" t="s">
        <v>1768</v>
      </c>
      <c r="I193" t="s">
        <v>1774</v>
      </c>
      <c r="J193" t="s">
        <v>1777</v>
      </c>
      <c r="K193">
        <v>3</v>
      </c>
      <c r="L193" s="2">
        <v>1118</v>
      </c>
      <c r="M193">
        <v>0.05</v>
      </c>
      <c r="N193" s="2">
        <v>639.65</v>
      </c>
      <c r="O193" s="2">
        <v>3186.3</v>
      </c>
      <c r="P193" s="2">
        <v>1918.95</v>
      </c>
      <c r="Q193" s="2">
        <v>1267.3499999999999</v>
      </c>
      <c r="R193">
        <v>1</v>
      </c>
      <c r="S193" s="2" t="str">
        <f>TEXT(data[[#This Row],[Date]],"mmm yyyy")</f>
        <v>Oct 2024</v>
      </c>
      <c r="T193" s="8">
        <f>data[[#This Row],[Profit]]/data[[#This Row],[Revenue]]</f>
        <v>0.39774974107899441</v>
      </c>
    </row>
    <row r="194" spans="1:20" x14ac:dyDescent="0.3">
      <c r="A194">
        <v>10192</v>
      </c>
      <c r="B194" t="s">
        <v>52</v>
      </c>
      <c r="C194" t="s">
        <v>606</v>
      </c>
      <c r="D194" t="s">
        <v>610</v>
      </c>
      <c r="E194" t="s">
        <v>628</v>
      </c>
      <c r="F194" t="s">
        <v>817</v>
      </c>
      <c r="G194" t="s">
        <v>1761</v>
      </c>
      <c r="H194" t="s">
        <v>1768</v>
      </c>
      <c r="I194" t="s">
        <v>1773</v>
      </c>
      <c r="J194" t="s">
        <v>1778</v>
      </c>
      <c r="K194">
        <v>12</v>
      </c>
      <c r="L194" s="2">
        <v>1175</v>
      </c>
      <c r="M194">
        <v>0.15</v>
      </c>
      <c r="N194" s="2">
        <v>594.91999999999996</v>
      </c>
      <c r="O194" s="2">
        <v>11985</v>
      </c>
      <c r="P194" s="2">
        <v>7139.04</v>
      </c>
      <c r="Q194" s="2">
        <v>4845.96</v>
      </c>
      <c r="R194">
        <v>1</v>
      </c>
      <c r="S194" s="2" t="str">
        <f>TEXT(data[[#This Row],[Date]],"mmm yyyy")</f>
        <v>Sep 2024</v>
      </c>
      <c r="T194" s="8">
        <f>data[[#This Row],[Profit]]/data[[#This Row],[Revenue]]</f>
        <v>0.40433541927409261</v>
      </c>
    </row>
    <row r="195" spans="1:20" x14ac:dyDescent="0.3">
      <c r="A195">
        <v>10193</v>
      </c>
      <c r="B195" t="s">
        <v>184</v>
      </c>
      <c r="C195" t="s">
        <v>609</v>
      </c>
      <c r="D195" t="s">
        <v>623</v>
      </c>
      <c r="E195" t="s">
        <v>627</v>
      </c>
      <c r="F195" t="s">
        <v>818</v>
      </c>
      <c r="G195" t="s">
        <v>1765</v>
      </c>
      <c r="H195" t="s">
        <v>1769</v>
      </c>
      <c r="I195" t="s">
        <v>1775</v>
      </c>
      <c r="J195" t="s">
        <v>1776</v>
      </c>
      <c r="K195">
        <v>2</v>
      </c>
      <c r="L195" s="2">
        <v>262</v>
      </c>
      <c r="M195">
        <v>0.15</v>
      </c>
      <c r="N195" s="2">
        <v>133.62</v>
      </c>
      <c r="O195" s="2">
        <v>445.4</v>
      </c>
      <c r="P195" s="2">
        <v>267.24</v>
      </c>
      <c r="Q195" s="2">
        <v>178.16</v>
      </c>
      <c r="R195">
        <v>0</v>
      </c>
      <c r="S195" s="2" t="str">
        <f>TEXT(data[[#This Row],[Date]],"mmm yyyy")</f>
        <v>Mar 2025</v>
      </c>
      <c r="T195" s="8">
        <f>data[[#This Row],[Profit]]/data[[#This Row],[Revenue]]</f>
        <v>0.4</v>
      </c>
    </row>
    <row r="196" spans="1:20" x14ac:dyDescent="0.3">
      <c r="A196">
        <v>10194</v>
      </c>
      <c r="B196" t="s">
        <v>185</v>
      </c>
      <c r="C196" t="s">
        <v>606</v>
      </c>
      <c r="D196" t="s">
        <v>610</v>
      </c>
      <c r="E196" t="s">
        <v>629</v>
      </c>
      <c r="F196" t="s">
        <v>819</v>
      </c>
      <c r="G196" t="s">
        <v>1761</v>
      </c>
      <c r="H196" t="s">
        <v>1769</v>
      </c>
      <c r="I196" t="s">
        <v>1774</v>
      </c>
      <c r="J196" t="s">
        <v>1778</v>
      </c>
      <c r="K196">
        <v>19</v>
      </c>
      <c r="L196" s="2">
        <v>266</v>
      </c>
      <c r="M196">
        <v>0.15</v>
      </c>
      <c r="N196" s="2">
        <v>180.66</v>
      </c>
      <c r="O196" s="2">
        <v>4295.8999999999996</v>
      </c>
      <c r="P196" s="2">
        <v>3432.54</v>
      </c>
      <c r="Q196" s="2">
        <v>863.36</v>
      </c>
      <c r="R196">
        <v>0</v>
      </c>
      <c r="S196" s="2" t="str">
        <f>TEXT(data[[#This Row],[Date]],"mmm yyyy")</f>
        <v>Mar 2025</v>
      </c>
      <c r="T196" s="8">
        <f>data[[#This Row],[Profit]]/data[[#This Row],[Revenue]]</f>
        <v>0.20097302078726229</v>
      </c>
    </row>
    <row r="197" spans="1:20" x14ac:dyDescent="0.3">
      <c r="A197">
        <v>10195</v>
      </c>
      <c r="B197" t="s">
        <v>111</v>
      </c>
      <c r="C197" t="s">
        <v>609</v>
      </c>
      <c r="D197" t="s">
        <v>622</v>
      </c>
      <c r="E197" t="s">
        <v>626</v>
      </c>
      <c r="F197" t="s">
        <v>820</v>
      </c>
      <c r="G197" t="s">
        <v>1763</v>
      </c>
      <c r="H197" t="s">
        <v>1771</v>
      </c>
      <c r="I197" t="s">
        <v>1774</v>
      </c>
      <c r="J197" t="s">
        <v>1777</v>
      </c>
      <c r="K197">
        <v>4</v>
      </c>
      <c r="L197" s="2">
        <v>648</v>
      </c>
      <c r="M197">
        <v>0</v>
      </c>
      <c r="N197" s="2">
        <v>452.21</v>
      </c>
      <c r="O197" s="2">
        <v>2592</v>
      </c>
      <c r="P197" s="2">
        <v>1808.84</v>
      </c>
      <c r="Q197" s="2">
        <v>783.16</v>
      </c>
      <c r="R197">
        <v>0</v>
      </c>
      <c r="S197" s="2" t="str">
        <f>TEXT(data[[#This Row],[Date]],"mmm yyyy")</f>
        <v>Dec 2024</v>
      </c>
      <c r="T197" s="8">
        <f>data[[#This Row],[Profit]]/data[[#This Row],[Revenue]]</f>
        <v>0.30214506172839506</v>
      </c>
    </row>
    <row r="198" spans="1:20" x14ac:dyDescent="0.3">
      <c r="A198">
        <v>10196</v>
      </c>
      <c r="B198" t="s">
        <v>186</v>
      </c>
      <c r="C198" t="s">
        <v>606</v>
      </c>
      <c r="D198" t="s">
        <v>620</v>
      </c>
      <c r="E198" t="s">
        <v>626</v>
      </c>
      <c r="F198" t="s">
        <v>821</v>
      </c>
      <c r="G198" t="s">
        <v>1763</v>
      </c>
      <c r="H198" t="s">
        <v>1772</v>
      </c>
      <c r="I198" t="s">
        <v>1774</v>
      </c>
      <c r="J198" t="s">
        <v>1777</v>
      </c>
      <c r="K198">
        <v>15</v>
      </c>
      <c r="L198" s="2">
        <v>934</v>
      </c>
      <c r="M198">
        <v>0.1</v>
      </c>
      <c r="N198" s="2">
        <v>628.49</v>
      </c>
      <c r="O198" s="2">
        <v>12609</v>
      </c>
      <c r="P198" s="2">
        <v>9427.35</v>
      </c>
      <c r="Q198" s="2">
        <v>3181.65</v>
      </c>
      <c r="R198">
        <v>1</v>
      </c>
      <c r="S198" s="2" t="str">
        <f>TEXT(data[[#This Row],[Date]],"mmm yyyy")</f>
        <v>Jun 2025</v>
      </c>
      <c r="T198" s="8">
        <f>data[[#This Row],[Profit]]/data[[#This Row],[Revenue]]</f>
        <v>0.25233166785629313</v>
      </c>
    </row>
    <row r="199" spans="1:20" x14ac:dyDescent="0.3">
      <c r="A199">
        <v>10197</v>
      </c>
      <c r="B199" t="s">
        <v>187</v>
      </c>
      <c r="C199" t="s">
        <v>607</v>
      </c>
      <c r="D199" t="s">
        <v>621</v>
      </c>
      <c r="E199" t="s">
        <v>629</v>
      </c>
      <c r="F199" t="s">
        <v>822</v>
      </c>
      <c r="G199" t="s">
        <v>1760</v>
      </c>
      <c r="H199" t="s">
        <v>1768</v>
      </c>
      <c r="I199" t="s">
        <v>1773</v>
      </c>
      <c r="J199" t="s">
        <v>1778</v>
      </c>
      <c r="K199">
        <v>9</v>
      </c>
      <c r="L199" s="2">
        <v>1372</v>
      </c>
      <c r="M199">
        <v>0.05</v>
      </c>
      <c r="N199" s="2">
        <v>873.42</v>
      </c>
      <c r="O199" s="2">
        <v>11730.6</v>
      </c>
      <c r="P199" s="2">
        <v>7860.78</v>
      </c>
      <c r="Q199" s="2">
        <v>3869.82</v>
      </c>
      <c r="R199">
        <v>0</v>
      </c>
      <c r="S199" s="2" t="str">
        <f>TEXT(data[[#This Row],[Date]],"mmm yyyy")</f>
        <v>Jul 2025</v>
      </c>
      <c r="T199" s="8">
        <f>data[[#This Row],[Profit]]/data[[#This Row],[Revenue]]</f>
        <v>0.32989105416602732</v>
      </c>
    </row>
    <row r="200" spans="1:20" x14ac:dyDescent="0.3">
      <c r="A200">
        <v>10198</v>
      </c>
      <c r="B200" t="s">
        <v>188</v>
      </c>
      <c r="C200" t="s">
        <v>606</v>
      </c>
      <c r="D200" t="s">
        <v>616</v>
      </c>
      <c r="E200" t="s">
        <v>628</v>
      </c>
      <c r="F200" t="s">
        <v>823</v>
      </c>
      <c r="G200" t="s">
        <v>1759</v>
      </c>
      <c r="H200" t="s">
        <v>1768</v>
      </c>
      <c r="I200" t="s">
        <v>1773</v>
      </c>
      <c r="J200" t="s">
        <v>1779</v>
      </c>
      <c r="K200">
        <v>10</v>
      </c>
      <c r="L200" s="2">
        <v>1006</v>
      </c>
      <c r="M200">
        <v>0.05</v>
      </c>
      <c r="N200" s="2">
        <v>537.34</v>
      </c>
      <c r="O200" s="2">
        <v>9557</v>
      </c>
      <c r="P200" s="2">
        <v>5373.4</v>
      </c>
      <c r="Q200" s="2">
        <v>4183.6000000000004</v>
      </c>
      <c r="R200">
        <v>1</v>
      </c>
      <c r="S200" s="2" t="str">
        <f>TEXT(data[[#This Row],[Date]],"mmm yyyy")</f>
        <v>Nov 2025</v>
      </c>
      <c r="T200" s="8">
        <f>data[[#This Row],[Profit]]/data[[#This Row],[Revenue]]</f>
        <v>0.43775243277179032</v>
      </c>
    </row>
    <row r="201" spans="1:20" x14ac:dyDescent="0.3">
      <c r="A201">
        <v>10199</v>
      </c>
      <c r="B201" t="s">
        <v>189</v>
      </c>
      <c r="C201" t="s">
        <v>608</v>
      </c>
      <c r="D201" t="s">
        <v>612</v>
      </c>
      <c r="E201" t="s">
        <v>626</v>
      </c>
      <c r="F201" t="s">
        <v>824</v>
      </c>
      <c r="G201" t="s">
        <v>1763</v>
      </c>
      <c r="H201" t="s">
        <v>1770</v>
      </c>
      <c r="I201" t="s">
        <v>1773</v>
      </c>
      <c r="J201" t="s">
        <v>1777</v>
      </c>
      <c r="K201">
        <v>5</v>
      </c>
      <c r="L201" s="2">
        <v>706</v>
      </c>
      <c r="M201">
        <v>0.05</v>
      </c>
      <c r="N201" s="2">
        <v>456.7</v>
      </c>
      <c r="O201" s="2">
        <v>3353.5</v>
      </c>
      <c r="P201" s="2">
        <v>2283.5</v>
      </c>
      <c r="Q201" s="2">
        <v>1070</v>
      </c>
      <c r="R201">
        <v>0</v>
      </c>
      <c r="S201" s="2" t="str">
        <f>TEXT(data[[#This Row],[Date]],"mmm yyyy")</f>
        <v>Dec 2024</v>
      </c>
      <c r="T201" s="8">
        <f>data[[#This Row],[Profit]]/data[[#This Row],[Revenue]]</f>
        <v>0.31906962874608619</v>
      </c>
    </row>
    <row r="202" spans="1:20" x14ac:dyDescent="0.3">
      <c r="A202">
        <v>10200</v>
      </c>
      <c r="B202" t="s">
        <v>190</v>
      </c>
      <c r="C202" t="s">
        <v>607</v>
      </c>
      <c r="D202" t="s">
        <v>611</v>
      </c>
      <c r="E202" t="s">
        <v>626</v>
      </c>
      <c r="F202" t="s">
        <v>825</v>
      </c>
      <c r="G202" t="s">
        <v>1762</v>
      </c>
      <c r="H202" t="s">
        <v>1771</v>
      </c>
      <c r="I202" t="s">
        <v>1773</v>
      </c>
      <c r="J202" t="s">
        <v>1776</v>
      </c>
      <c r="K202">
        <v>10</v>
      </c>
      <c r="L202" s="2">
        <v>358</v>
      </c>
      <c r="M202">
        <v>0</v>
      </c>
      <c r="N202" s="2">
        <v>211.26</v>
      </c>
      <c r="O202" s="2">
        <v>3580</v>
      </c>
      <c r="P202" s="2">
        <v>2112.6</v>
      </c>
      <c r="Q202" s="2">
        <v>1467.4</v>
      </c>
      <c r="R202">
        <v>0</v>
      </c>
      <c r="S202" s="2" t="str">
        <f>TEXT(data[[#This Row],[Date]],"mmm yyyy")</f>
        <v>Feb 2024</v>
      </c>
      <c r="T202" s="8">
        <f>data[[#This Row],[Profit]]/data[[#This Row],[Revenue]]</f>
        <v>0.4098882681564246</v>
      </c>
    </row>
    <row r="203" spans="1:20" x14ac:dyDescent="0.3">
      <c r="A203">
        <v>10201</v>
      </c>
      <c r="B203" t="s">
        <v>191</v>
      </c>
      <c r="C203" t="s">
        <v>606</v>
      </c>
      <c r="D203" t="s">
        <v>616</v>
      </c>
      <c r="E203" t="s">
        <v>627</v>
      </c>
      <c r="F203" t="s">
        <v>826</v>
      </c>
      <c r="G203" t="s">
        <v>1760</v>
      </c>
      <c r="H203" t="s">
        <v>1768</v>
      </c>
      <c r="I203" t="s">
        <v>1773</v>
      </c>
      <c r="J203" t="s">
        <v>1779</v>
      </c>
      <c r="K203">
        <v>11</v>
      </c>
      <c r="L203" s="2">
        <v>965</v>
      </c>
      <c r="M203">
        <v>0.15</v>
      </c>
      <c r="N203" s="2">
        <v>595.55999999999995</v>
      </c>
      <c r="O203" s="2">
        <v>9022.75</v>
      </c>
      <c r="P203" s="2">
        <v>6551.16</v>
      </c>
      <c r="Q203" s="2">
        <v>2471.59</v>
      </c>
      <c r="R203">
        <v>0</v>
      </c>
      <c r="S203" s="2" t="str">
        <f>TEXT(data[[#This Row],[Date]],"mmm yyyy")</f>
        <v>Oct 2024</v>
      </c>
      <c r="T203" s="8">
        <f>data[[#This Row],[Profit]]/data[[#This Row],[Revenue]]</f>
        <v>0.27392868028040235</v>
      </c>
    </row>
    <row r="204" spans="1:20" x14ac:dyDescent="0.3">
      <c r="A204">
        <v>10202</v>
      </c>
      <c r="B204" t="s">
        <v>36</v>
      </c>
      <c r="C204" t="s">
        <v>607</v>
      </c>
      <c r="D204" t="s">
        <v>624</v>
      </c>
      <c r="E204" t="s">
        <v>628</v>
      </c>
      <c r="F204" t="s">
        <v>827</v>
      </c>
      <c r="G204" t="s">
        <v>1766</v>
      </c>
      <c r="H204" t="s">
        <v>1770</v>
      </c>
      <c r="I204" t="s">
        <v>1773</v>
      </c>
      <c r="J204" t="s">
        <v>1778</v>
      </c>
      <c r="K204">
        <v>19</v>
      </c>
      <c r="L204" s="2">
        <v>739</v>
      </c>
      <c r="M204">
        <v>0.1</v>
      </c>
      <c r="N204" s="2">
        <v>389.6</v>
      </c>
      <c r="O204" s="2">
        <v>12636.9</v>
      </c>
      <c r="P204" s="2">
        <v>7402.4</v>
      </c>
      <c r="Q204" s="2">
        <v>5234.5</v>
      </c>
      <c r="R204">
        <v>1</v>
      </c>
      <c r="S204" s="2" t="str">
        <f>TEXT(data[[#This Row],[Date]],"mmm yyyy")</f>
        <v>Mar 2025</v>
      </c>
      <c r="T204" s="8">
        <f>data[[#This Row],[Profit]]/data[[#This Row],[Revenue]]</f>
        <v>0.41422342504886484</v>
      </c>
    </row>
    <row r="205" spans="1:20" x14ac:dyDescent="0.3">
      <c r="A205">
        <v>10203</v>
      </c>
      <c r="B205" t="s">
        <v>192</v>
      </c>
      <c r="C205" t="s">
        <v>609</v>
      </c>
      <c r="D205" t="s">
        <v>623</v>
      </c>
      <c r="E205" t="s">
        <v>628</v>
      </c>
      <c r="F205" t="s">
        <v>828</v>
      </c>
      <c r="G205" t="s">
        <v>1762</v>
      </c>
      <c r="H205" t="s">
        <v>1770</v>
      </c>
      <c r="I205" t="s">
        <v>1775</v>
      </c>
      <c r="J205" t="s">
        <v>1777</v>
      </c>
      <c r="K205">
        <v>8</v>
      </c>
      <c r="L205" s="2">
        <v>657</v>
      </c>
      <c r="M205">
        <v>0</v>
      </c>
      <c r="N205" s="2">
        <v>351.27</v>
      </c>
      <c r="O205" s="2">
        <v>5256</v>
      </c>
      <c r="P205" s="2">
        <v>2810.16</v>
      </c>
      <c r="Q205" s="2">
        <v>2445.84</v>
      </c>
      <c r="R205">
        <v>0</v>
      </c>
      <c r="S205" s="2" t="str">
        <f>TEXT(data[[#This Row],[Date]],"mmm yyyy")</f>
        <v>Jan 2024</v>
      </c>
      <c r="T205" s="8">
        <f>data[[#This Row],[Profit]]/data[[#This Row],[Revenue]]</f>
        <v>0.46534246575342469</v>
      </c>
    </row>
    <row r="206" spans="1:20" x14ac:dyDescent="0.3">
      <c r="A206">
        <v>10204</v>
      </c>
      <c r="B206" t="s">
        <v>193</v>
      </c>
      <c r="C206" t="s">
        <v>608</v>
      </c>
      <c r="D206" t="s">
        <v>614</v>
      </c>
      <c r="E206" t="s">
        <v>627</v>
      </c>
      <c r="F206" t="s">
        <v>829</v>
      </c>
      <c r="G206" t="s">
        <v>1765</v>
      </c>
      <c r="H206" t="s">
        <v>1770</v>
      </c>
      <c r="I206" t="s">
        <v>1774</v>
      </c>
      <c r="J206" t="s">
        <v>1778</v>
      </c>
      <c r="K206">
        <v>20</v>
      </c>
      <c r="L206" s="2">
        <v>717</v>
      </c>
      <c r="M206">
        <v>0.1</v>
      </c>
      <c r="N206" s="2">
        <v>426.5</v>
      </c>
      <c r="O206" s="2">
        <v>12906</v>
      </c>
      <c r="P206" s="2">
        <v>8530</v>
      </c>
      <c r="Q206" s="2">
        <v>4376</v>
      </c>
      <c r="R206">
        <v>0</v>
      </c>
      <c r="S206" s="2" t="str">
        <f>TEXT(data[[#This Row],[Date]],"mmm yyyy")</f>
        <v>Nov 2024</v>
      </c>
      <c r="T206" s="8">
        <f>data[[#This Row],[Profit]]/data[[#This Row],[Revenue]]</f>
        <v>0.33906710057337675</v>
      </c>
    </row>
    <row r="207" spans="1:20" x14ac:dyDescent="0.3">
      <c r="A207">
        <v>10205</v>
      </c>
      <c r="B207" t="s">
        <v>194</v>
      </c>
      <c r="C207" t="s">
        <v>606</v>
      </c>
      <c r="D207" t="s">
        <v>610</v>
      </c>
      <c r="E207" t="s">
        <v>627</v>
      </c>
      <c r="F207" t="s">
        <v>830</v>
      </c>
      <c r="G207" t="s">
        <v>1763</v>
      </c>
      <c r="H207" t="s">
        <v>1768</v>
      </c>
      <c r="I207" t="s">
        <v>1775</v>
      </c>
      <c r="J207" t="s">
        <v>1777</v>
      </c>
      <c r="K207">
        <v>4</v>
      </c>
      <c r="L207" s="2">
        <v>842</v>
      </c>
      <c r="M207">
        <v>0.2</v>
      </c>
      <c r="N207" s="2">
        <v>589.99</v>
      </c>
      <c r="O207" s="2">
        <v>2694.4</v>
      </c>
      <c r="P207" s="2">
        <v>2359.96</v>
      </c>
      <c r="Q207" s="2">
        <v>334.44</v>
      </c>
      <c r="R207">
        <v>1</v>
      </c>
      <c r="S207" s="2" t="str">
        <f>TEXT(data[[#This Row],[Date]],"mmm yyyy")</f>
        <v>Feb 2024</v>
      </c>
      <c r="T207" s="8">
        <f>data[[#This Row],[Profit]]/data[[#This Row],[Revenue]]</f>
        <v>0.12412410926365795</v>
      </c>
    </row>
    <row r="208" spans="1:20" x14ac:dyDescent="0.3">
      <c r="A208">
        <v>10206</v>
      </c>
      <c r="B208" t="s">
        <v>195</v>
      </c>
      <c r="C208" t="s">
        <v>606</v>
      </c>
      <c r="D208" t="s">
        <v>620</v>
      </c>
      <c r="E208" t="s">
        <v>626</v>
      </c>
      <c r="F208" t="s">
        <v>831</v>
      </c>
      <c r="G208" t="s">
        <v>1764</v>
      </c>
      <c r="H208" t="s">
        <v>1771</v>
      </c>
      <c r="I208" t="s">
        <v>1773</v>
      </c>
      <c r="J208" t="s">
        <v>1777</v>
      </c>
      <c r="K208">
        <v>8</v>
      </c>
      <c r="L208" s="2">
        <v>652</v>
      </c>
      <c r="M208">
        <v>0.05</v>
      </c>
      <c r="N208" s="2">
        <v>348.54</v>
      </c>
      <c r="O208" s="2">
        <v>4955.2</v>
      </c>
      <c r="P208" s="2">
        <v>2788.32</v>
      </c>
      <c r="Q208" s="2">
        <v>2166.88</v>
      </c>
      <c r="R208">
        <v>1</v>
      </c>
      <c r="S208" s="2" t="str">
        <f>TEXT(data[[#This Row],[Date]],"mmm yyyy")</f>
        <v>Apr 2024</v>
      </c>
      <c r="T208" s="8">
        <f>data[[#This Row],[Profit]]/data[[#This Row],[Revenue]]</f>
        <v>0.43729415563448504</v>
      </c>
    </row>
    <row r="209" spans="1:20" x14ac:dyDescent="0.3">
      <c r="A209">
        <v>10207</v>
      </c>
      <c r="B209" t="s">
        <v>48</v>
      </c>
      <c r="C209" t="s">
        <v>606</v>
      </c>
      <c r="D209" t="s">
        <v>620</v>
      </c>
      <c r="E209" t="s">
        <v>628</v>
      </c>
      <c r="F209" t="s">
        <v>832</v>
      </c>
      <c r="G209" t="s">
        <v>1761</v>
      </c>
      <c r="H209" t="s">
        <v>1768</v>
      </c>
      <c r="I209" t="s">
        <v>1775</v>
      </c>
      <c r="J209" t="s">
        <v>1776</v>
      </c>
      <c r="K209">
        <v>14</v>
      </c>
      <c r="L209" s="2">
        <v>1323</v>
      </c>
      <c r="M209">
        <v>0.05</v>
      </c>
      <c r="N209" s="2">
        <v>755.19</v>
      </c>
      <c r="O209" s="2">
        <v>17595.900000000001</v>
      </c>
      <c r="P209" s="2">
        <v>10572.66</v>
      </c>
      <c r="Q209" s="2">
        <v>7023.24</v>
      </c>
      <c r="R209">
        <v>0</v>
      </c>
      <c r="S209" s="2" t="str">
        <f>TEXT(data[[#This Row],[Date]],"mmm yyyy")</f>
        <v>Jun 2025</v>
      </c>
      <c r="T209" s="8">
        <f>data[[#This Row],[Profit]]/data[[#This Row],[Revenue]]</f>
        <v>0.39914070891514497</v>
      </c>
    </row>
    <row r="210" spans="1:20" x14ac:dyDescent="0.3">
      <c r="A210">
        <v>10208</v>
      </c>
      <c r="B210" t="s">
        <v>196</v>
      </c>
      <c r="C210" t="s">
        <v>608</v>
      </c>
      <c r="D210" t="s">
        <v>618</v>
      </c>
      <c r="E210" t="s">
        <v>627</v>
      </c>
      <c r="F210" t="s">
        <v>833</v>
      </c>
      <c r="G210" t="s">
        <v>1761</v>
      </c>
      <c r="H210" t="s">
        <v>1767</v>
      </c>
      <c r="I210" t="s">
        <v>1774</v>
      </c>
      <c r="J210" t="s">
        <v>1778</v>
      </c>
      <c r="K210">
        <v>1</v>
      </c>
      <c r="L210" s="2">
        <v>155</v>
      </c>
      <c r="M210">
        <v>0.15</v>
      </c>
      <c r="N210" s="2">
        <v>108.66</v>
      </c>
      <c r="O210" s="2">
        <v>131.75</v>
      </c>
      <c r="P210" s="2">
        <v>108.66</v>
      </c>
      <c r="Q210" s="2">
        <v>23.09</v>
      </c>
      <c r="R210">
        <v>0</v>
      </c>
      <c r="S210" s="2" t="str">
        <f>TEXT(data[[#This Row],[Date]],"mmm yyyy")</f>
        <v>Aug 2025</v>
      </c>
      <c r="T210" s="8">
        <f>data[[#This Row],[Profit]]/data[[#This Row],[Revenue]]</f>
        <v>0.17525616698292221</v>
      </c>
    </row>
    <row r="211" spans="1:20" x14ac:dyDescent="0.3">
      <c r="A211">
        <v>10209</v>
      </c>
      <c r="B211" t="s">
        <v>197</v>
      </c>
      <c r="C211" t="s">
        <v>607</v>
      </c>
      <c r="D211" t="s">
        <v>611</v>
      </c>
      <c r="E211" t="s">
        <v>629</v>
      </c>
      <c r="F211" t="s">
        <v>834</v>
      </c>
      <c r="G211" t="s">
        <v>1763</v>
      </c>
      <c r="H211" t="s">
        <v>1769</v>
      </c>
      <c r="I211" t="s">
        <v>1775</v>
      </c>
      <c r="J211" t="s">
        <v>1779</v>
      </c>
      <c r="K211">
        <v>5</v>
      </c>
      <c r="L211" s="2">
        <v>470</v>
      </c>
      <c r="M211">
        <v>0.15</v>
      </c>
      <c r="N211" s="2">
        <v>348.01</v>
      </c>
      <c r="O211" s="2">
        <v>1997.5</v>
      </c>
      <c r="P211" s="2">
        <v>1740.05</v>
      </c>
      <c r="Q211" s="2">
        <v>257.45</v>
      </c>
      <c r="R211">
        <v>0</v>
      </c>
      <c r="S211" s="2" t="str">
        <f>TEXT(data[[#This Row],[Date]],"mmm yyyy")</f>
        <v>Mar 2024</v>
      </c>
      <c r="T211" s="8">
        <f>data[[#This Row],[Profit]]/data[[#This Row],[Revenue]]</f>
        <v>0.12888610763454317</v>
      </c>
    </row>
    <row r="212" spans="1:20" x14ac:dyDescent="0.3">
      <c r="A212">
        <v>10210</v>
      </c>
      <c r="B212" t="s">
        <v>198</v>
      </c>
      <c r="C212" t="s">
        <v>608</v>
      </c>
      <c r="D212" t="s">
        <v>612</v>
      </c>
      <c r="E212" t="s">
        <v>626</v>
      </c>
      <c r="F212" t="s">
        <v>835</v>
      </c>
      <c r="G212" t="s">
        <v>1766</v>
      </c>
      <c r="H212" t="s">
        <v>1772</v>
      </c>
      <c r="I212" t="s">
        <v>1774</v>
      </c>
      <c r="J212" t="s">
        <v>1779</v>
      </c>
      <c r="K212">
        <v>1</v>
      </c>
      <c r="L212" s="2">
        <v>1043</v>
      </c>
      <c r="M212">
        <v>0.05</v>
      </c>
      <c r="N212" s="2">
        <v>579.51</v>
      </c>
      <c r="O212" s="2">
        <v>990.85</v>
      </c>
      <c r="P212" s="2">
        <v>579.51</v>
      </c>
      <c r="Q212" s="2">
        <v>411.34</v>
      </c>
      <c r="R212">
        <v>1</v>
      </c>
      <c r="S212" s="2" t="str">
        <f>TEXT(data[[#This Row],[Date]],"mmm yyyy")</f>
        <v>Dec 2025</v>
      </c>
      <c r="T212" s="8">
        <f>data[[#This Row],[Profit]]/data[[#This Row],[Revenue]]</f>
        <v>0.4151385174345259</v>
      </c>
    </row>
    <row r="213" spans="1:20" x14ac:dyDescent="0.3">
      <c r="A213">
        <v>10211</v>
      </c>
      <c r="B213" t="s">
        <v>109</v>
      </c>
      <c r="C213" t="s">
        <v>606</v>
      </c>
      <c r="D213" t="s">
        <v>610</v>
      </c>
      <c r="E213" t="s">
        <v>626</v>
      </c>
      <c r="F213" t="s">
        <v>836</v>
      </c>
      <c r="G213" t="s">
        <v>1762</v>
      </c>
      <c r="H213" t="s">
        <v>1769</v>
      </c>
      <c r="I213" t="s">
        <v>1774</v>
      </c>
      <c r="J213" t="s">
        <v>1776</v>
      </c>
      <c r="K213">
        <v>13</v>
      </c>
      <c r="L213" s="2">
        <v>375</v>
      </c>
      <c r="M213">
        <v>0.1</v>
      </c>
      <c r="N213" s="2">
        <v>198.21</v>
      </c>
      <c r="O213" s="2">
        <v>4387.5</v>
      </c>
      <c r="P213" s="2">
        <v>2576.73</v>
      </c>
      <c r="Q213" s="2">
        <v>1810.77</v>
      </c>
      <c r="R213">
        <v>0</v>
      </c>
      <c r="S213" s="2" t="str">
        <f>TEXT(data[[#This Row],[Date]],"mmm yyyy")</f>
        <v>Jul 2024</v>
      </c>
      <c r="T213" s="8">
        <f>data[[#This Row],[Profit]]/data[[#This Row],[Revenue]]</f>
        <v>0.41271111111111108</v>
      </c>
    </row>
    <row r="214" spans="1:20" x14ac:dyDescent="0.3">
      <c r="A214">
        <v>10212</v>
      </c>
      <c r="B214" t="s">
        <v>199</v>
      </c>
      <c r="C214" t="s">
        <v>608</v>
      </c>
      <c r="D214" t="s">
        <v>612</v>
      </c>
      <c r="E214" t="s">
        <v>626</v>
      </c>
      <c r="F214" t="s">
        <v>837</v>
      </c>
      <c r="G214" t="s">
        <v>1761</v>
      </c>
      <c r="H214" t="s">
        <v>1770</v>
      </c>
      <c r="I214" t="s">
        <v>1775</v>
      </c>
      <c r="J214" t="s">
        <v>1777</v>
      </c>
      <c r="K214">
        <v>8</v>
      </c>
      <c r="L214" s="2">
        <v>901</v>
      </c>
      <c r="M214">
        <v>0.2</v>
      </c>
      <c r="N214" s="2">
        <v>553.70000000000005</v>
      </c>
      <c r="O214" s="2">
        <v>5766.4</v>
      </c>
      <c r="P214" s="2">
        <v>4429.6000000000004</v>
      </c>
      <c r="Q214" s="2">
        <v>1336.8</v>
      </c>
      <c r="R214">
        <v>0</v>
      </c>
      <c r="S214" s="2" t="str">
        <f>TEXT(data[[#This Row],[Date]],"mmm yyyy")</f>
        <v>Jun 2025</v>
      </c>
      <c r="T214" s="8">
        <f>data[[#This Row],[Profit]]/data[[#This Row],[Revenue]]</f>
        <v>0.23182574916759158</v>
      </c>
    </row>
    <row r="215" spans="1:20" x14ac:dyDescent="0.3">
      <c r="A215">
        <v>10213</v>
      </c>
      <c r="B215" t="s">
        <v>200</v>
      </c>
      <c r="C215" t="s">
        <v>609</v>
      </c>
      <c r="D215" t="s">
        <v>622</v>
      </c>
      <c r="E215" t="s">
        <v>628</v>
      </c>
      <c r="F215" t="s">
        <v>838</v>
      </c>
      <c r="G215" t="s">
        <v>1765</v>
      </c>
      <c r="H215" t="s">
        <v>1767</v>
      </c>
      <c r="I215" t="s">
        <v>1775</v>
      </c>
      <c r="J215" t="s">
        <v>1776</v>
      </c>
      <c r="K215">
        <v>13</v>
      </c>
      <c r="L215" s="2">
        <v>292</v>
      </c>
      <c r="M215">
        <v>0.2</v>
      </c>
      <c r="N215" s="2">
        <v>158.5</v>
      </c>
      <c r="O215" s="2">
        <v>3036.8</v>
      </c>
      <c r="P215" s="2">
        <v>2060.5</v>
      </c>
      <c r="Q215" s="2">
        <v>976.3</v>
      </c>
      <c r="R215">
        <v>0</v>
      </c>
      <c r="S215" s="2" t="str">
        <f>TEXT(data[[#This Row],[Date]],"mmm yyyy")</f>
        <v>Jul 2025</v>
      </c>
      <c r="T215" s="8">
        <f>data[[#This Row],[Profit]]/data[[#This Row],[Revenue]]</f>
        <v>0.32148972602739723</v>
      </c>
    </row>
    <row r="216" spans="1:20" x14ac:dyDescent="0.3">
      <c r="A216">
        <v>10214</v>
      </c>
      <c r="B216" t="s">
        <v>201</v>
      </c>
      <c r="C216" t="s">
        <v>607</v>
      </c>
      <c r="D216" t="s">
        <v>621</v>
      </c>
      <c r="E216" t="s">
        <v>629</v>
      </c>
      <c r="F216" t="s">
        <v>839</v>
      </c>
      <c r="G216" t="s">
        <v>1765</v>
      </c>
      <c r="H216" t="s">
        <v>1768</v>
      </c>
      <c r="I216" t="s">
        <v>1775</v>
      </c>
      <c r="J216" t="s">
        <v>1776</v>
      </c>
      <c r="K216">
        <v>2</v>
      </c>
      <c r="L216" s="2">
        <v>1181</v>
      </c>
      <c r="M216">
        <v>0</v>
      </c>
      <c r="N216" s="2">
        <v>797.75</v>
      </c>
      <c r="O216" s="2">
        <v>2362</v>
      </c>
      <c r="P216" s="2">
        <v>1595.5</v>
      </c>
      <c r="Q216" s="2">
        <v>766.5</v>
      </c>
      <c r="R216">
        <v>0</v>
      </c>
      <c r="S216" s="2" t="str">
        <f>TEXT(data[[#This Row],[Date]],"mmm yyyy")</f>
        <v>Apr 2025</v>
      </c>
      <c r="T216" s="8">
        <f>data[[#This Row],[Profit]]/data[[#This Row],[Revenue]]</f>
        <v>0.32451312447078745</v>
      </c>
    </row>
    <row r="217" spans="1:20" x14ac:dyDescent="0.3">
      <c r="A217">
        <v>10215</v>
      </c>
      <c r="B217" t="s">
        <v>161</v>
      </c>
      <c r="C217" t="s">
        <v>608</v>
      </c>
      <c r="D217" t="s">
        <v>614</v>
      </c>
      <c r="E217" t="s">
        <v>626</v>
      </c>
      <c r="F217" t="s">
        <v>840</v>
      </c>
      <c r="G217" t="s">
        <v>1761</v>
      </c>
      <c r="H217" t="s">
        <v>1770</v>
      </c>
      <c r="I217" t="s">
        <v>1773</v>
      </c>
      <c r="J217" t="s">
        <v>1778</v>
      </c>
      <c r="K217">
        <v>6</v>
      </c>
      <c r="L217" s="2">
        <v>763</v>
      </c>
      <c r="M217">
        <v>0.1</v>
      </c>
      <c r="N217" s="2">
        <v>523.69000000000005</v>
      </c>
      <c r="O217" s="2">
        <v>4120.2</v>
      </c>
      <c r="P217" s="2">
        <v>3142.14</v>
      </c>
      <c r="Q217" s="2">
        <v>978.06</v>
      </c>
      <c r="R217">
        <v>0</v>
      </c>
      <c r="S217" s="2" t="str">
        <f>TEXT(data[[#This Row],[Date]],"mmm yyyy")</f>
        <v>Nov 2025</v>
      </c>
      <c r="T217" s="8">
        <f>data[[#This Row],[Profit]]/data[[#This Row],[Revenue]]</f>
        <v>0.23738168050094655</v>
      </c>
    </row>
    <row r="218" spans="1:20" x14ac:dyDescent="0.3">
      <c r="A218">
        <v>10216</v>
      </c>
      <c r="B218" t="s">
        <v>202</v>
      </c>
      <c r="C218" t="s">
        <v>606</v>
      </c>
      <c r="D218" t="s">
        <v>616</v>
      </c>
      <c r="E218" t="s">
        <v>627</v>
      </c>
      <c r="F218" t="s">
        <v>841</v>
      </c>
      <c r="G218" t="s">
        <v>1766</v>
      </c>
      <c r="H218" t="s">
        <v>1768</v>
      </c>
      <c r="I218" t="s">
        <v>1773</v>
      </c>
      <c r="J218" t="s">
        <v>1779</v>
      </c>
      <c r="K218">
        <v>4</v>
      </c>
      <c r="L218" s="2">
        <v>1161</v>
      </c>
      <c r="M218">
        <v>0.1</v>
      </c>
      <c r="N218" s="2">
        <v>739.8</v>
      </c>
      <c r="O218" s="2">
        <v>4179.6000000000004</v>
      </c>
      <c r="P218" s="2">
        <v>2959.2</v>
      </c>
      <c r="Q218" s="2">
        <v>1220.4000000000001</v>
      </c>
      <c r="R218">
        <v>0</v>
      </c>
      <c r="S218" s="2" t="str">
        <f>TEXT(data[[#This Row],[Date]],"mmm yyyy")</f>
        <v>Feb 2024</v>
      </c>
      <c r="T218" s="8">
        <f>data[[#This Row],[Profit]]/data[[#This Row],[Revenue]]</f>
        <v>0.29198966408268734</v>
      </c>
    </row>
    <row r="219" spans="1:20" x14ac:dyDescent="0.3">
      <c r="A219">
        <v>10217</v>
      </c>
      <c r="B219" t="s">
        <v>203</v>
      </c>
      <c r="C219" t="s">
        <v>609</v>
      </c>
      <c r="D219" t="s">
        <v>619</v>
      </c>
      <c r="E219" t="s">
        <v>627</v>
      </c>
      <c r="F219" t="s">
        <v>842</v>
      </c>
      <c r="G219" t="s">
        <v>1763</v>
      </c>
      <c r="H219" t="s">
        <v>1768</v>
      </c>
      <c r="I219" t="s">
        <v>1773</v>
      </c>
      <c r="J219" t="s">
        <v>1778</v>
      </c>
      <c r="K219">
        <v>16</v>
      </c>
      <c r="L219" s="2">
        <v>821</v>
      </c>
      <c r="M219">
        <v>0</v>
      </c>
      <c r="N219" s="2">
        <v>425.64</v>
      </c>
      <c r="O219" s="2">
        <v>13136</v>
      </c>
      <c r="P219" s="2">
        <v>6810.24</v>
      </c>
      <c r="Q219" s="2">
        <v>6325.76</v>
      </c>
      <c r="R219">
        <v>0</v>
      </c>
      <c r="S219" s="2" t="str">
        <f>TEXT(data[[#This Row],[Date]],"mmm yyyy")</f>
        <v>Jul 2024</v>
      </c>
      <c r="T219" s="8">
        <f>data[[#This Row],[Profit]]/data[[#This Row],[Revenue]]</f>
        <v>0.48155907429963463</v>
      </c>
    </row>
    <row r="220" spans="1:20" x14ac:dyDescent="0.3">
      <c r="A220">
        <v>10218</v>
      </c>
      <c r="B220" t="s">
        <v>204</v>
      </c>
      <c r="C220" t="s">
        <v>606</v>
      </c>
      <c r="D220" t="s">
        <v>616</v>
      </c>
      <c r="E220" t="s">
        <v>626</v>
      </c>
      <c r="F220" t="s">
        <v>843</v>
      </c>
      <c r="G220" t="s">
        <v>1765</v>
      </c>
      <c r="H220" t="s">
        <v>1768</v>
      </c>
      <c r="I220" t="s">
        <v>1774</v>
      </c>
      <c r="J220" t="s">
        <v>1779</v>
      </c>
      <c r="K220">
        <v>11</v>
      </c>
      <c r="L220" s="2">
        <v>825</v>
      </c>
      <c r="M220">
        <v>0.05</v>
      </c>
      <c r="N220" s="2">
        <v>512.98</v>
      </c>
      <c r="O220" s="2">
        <v>8621.25</v>
      </c>
      <c r="P220" s="2">
        <v>5642.78</v>
      </c>
      <c r="Q220" s="2">
        <v>2978.47</v>
      </c>
      <c r="R220">
        <v>1</v>
      </c>
      <c r="S220" s="2" t="str">
        <f>TEXT(data[[#This Row],[Date]],"mmm yyyy")</f>
        <v>Feb 2024</v>
      </c>
      <c r="T220" s="8">
        <f>data[[#This Row],[Profit]]/data[[#This Row],[Revenue]]</f>
        <v>0.34548006379585322</v>
      </c>
    </row>
    <row r="221" spans="1:20" x14ac:dyDescent="0.3">
      <c r="A221">
        <v>10219</v>
      </c>
      <c r="B221" t="s">
        <v>205</v>
      </c>
      <c r="C221" t="s">
        <v>607</v>
      </c>
      <c r="D221" t="s">
        <v>621</v>
      </c>
      <c r="E221" t="s">
        <v>629</v>
      </c>
      <c r="F221" t="s">
        <v>844</v>
      </c>
      <c r="G221" t="s">
        <v>1759</v>
      </c>
      <c r="H221" t="s">
        <v>1770</v>
      </c>
      <c r="I221" t="s">
        <v>1775</v>
      </c>
      <c r="J221" t="s">
        <v>1777</v>
      </c>
      <c r="K221">
        <v>13</v>
      </c>
      <c r="L221" s="2">
        <v>859</v>
      </c>
      <c r="M221">
        <v>0.05</v>
      </c>
      <c r="N221" s="2">
        <v>616.98</v>
      </c>
      <c r="O221" s="2">
        <v>10608.65</v>
      </c>
      <c r="P221" s="2">
        <v>8020.74</v>
      </c>
      <c r="Q221" s="2">
        <v>2587.91</v>
      </c>
      <c r="R221">
        <v>0</v>
      </c>
      <c r="S221" s="2" t="str">
        <f>TEXT(data[[#This Row],[Date]],"mmm yyyy")</f>
        <v>Jan 2025</v>
      </c>
      <c r="T221" s="8">
        <f>data[[#This Row],[Profit]]/data[[#This Row],[Revenue]]</f>
        <v>0.24394338582194719</v>
      </c>
    </row>
    <row r="222" spans="1:20" x14ac:dyDescent="0.3">
      <c r="A222">
        <v>10220</v>
      </c>
      <c r="B222" t="s">
        <v>178</v>
      </c>
      <c r="C222" t="s">
        <v>609</v>
      </c>
      <c r="D222" t="s">
        <v>613</v>
      </c>
      <c r="E222" t="s">
        <v>629</v>
      </c>
      <c r="F222" t="s">
        <v>845</v>
      </c>
      <c r="G222" t="s">
        <v>1766</v>
      </c>
      <c r="H222" t="s">
        <v>1771</v>
      </c>
      <c r="I222" t="s">
        <v>1774</v>
      </c>
      <c r="J222" t="s">
        <v>1779</v>
      </c>
      <c r="K222">
        <v>15</v>
      </c>
      <c r="L222" s="2">
        <v>484</v>
      </c>
      <c r="M222">
        <v>0.1</v>
      </c>
      <c r="N222" s="2">
        <v>311.82</v>
      </c>
      <c r="O222" s="2">
        <v>6534</v>
      </c>
      <c r="P222" s="2">
        <v>4677.3</v>
      </c>
      <c r="Q222" s="2">
        <v>1856.7</v>
      </c>
      <c r="R222">
        <v>1</v>
      </c>
      <c r="S222" s="2" t="str">
        <f>TEXT(data[[#This Row],[Date]],"mmm yyyy")</f>
        <v>Dec 2024</v>
      </c>
      <c r="T222" s="8">
        <f>data[[#This Row],[Profit]]/data[[#This Row],[Revenue]]</f>
        <v>0.28415977961432509</v>
      </c>
    </row>
    <row r="223" spans="1:20" x14ac:dyDescent="0.3">
      <c r="A223">
        <v>10221</v>
      </c>
      <c r="B223" t="s">
        <v>128</v>
      </c>
      <c r="C223" t="s">
        <v>606</v>
      </c>
      <c r="D223" t="s">
        <v>610</v>
      </c>
      <c r="E223" t="s">
        <v>627</v>
      </c>
      <c r="F223" t="s">
        <v>846</v>
      </c>
      <c r="G223" t="s">
        <v>1763</v>
      </c>
      <c r="H223" t="s">
        <v>1768</v>
      </c>
      <c r="I223" t="s">
        <v>1775</v>
      </c>
      <c r="J223" t="s">
        <v>1776</v>
      </c>
      <c r="K223">
        <v>15</v>
      </c>
      <c r="L223" s="2">
        <v>1054</v>
      </c>
      <c r="M223">
        <v>0.2</v>
      </c>
      <c r="N223" s="2">
        <v>538.96</v>
      </c>
      <c r="O223" s="2">
        <v>12648</v>
      </c>
      <c r="P223" s="2">
        <v>8084.4</v>
      </c>
      <c r="Q223" s="2">
        <v>4563.6000000000004</v>
      </c>
      <c r="R223">
        <v>0</v>
      </c>
      <c r="S223" s="2" t="str">
        <f>TEXT(data[[#This Row],[Date]],"mmm yyyy")</f>
        <v>Nov 2025</v>
      </c>
      <c r="T223" s="8">
        <f>data[[#This Row],[Profit]]/data[[#This Row],[Revenue]]</f>
        <v>0.3608159392789374</v>
      </c>
    </row>
    <row r="224" spans="1:20" x14ac:dyDescent="0.3">
      <c r="A224">
        <v>10222</v>
      </c>
      <c r="B224" t="s">
        <v>75</v>
      </c>
      <c r="C224" t="s">
        <v>606</v>
      </c>
      <c r="D224" t="s">
        <v>625</v>
      </c>
      <c r="E224" t="s">
        <v>626</v>
      </c>
      <c r="F224" t="s">
        <v>847</v>
      </c>
      <c r="G224" t="s">
        <v>1763</v>
      </c>
      <c r="H224" t="s">
        <v>1769</v>
      </c>
      <c r="I224" t="s">
        <v>1774</v>
      </c>
      <c r="J224" t="s">
        <v>1776</v>
      </c>
      <c r="K224">
        <v>17</v>
      </c>
      <c r="L224" s="2">
        <v>443</v>
      </c>
      <c r="M224">
        <v>0.2</v>
      </c>
      <c r="N224" s="2">
        <v>327.48</v>
      </c>
      <c r="O224" s="2">
        <v>6024.8</v>
      </c>
      <c r="P224" s="2">
        <v>5567.16</v>
      </c>
      <c r="Q224" s="2">
        <v>457.64</v>
      </c>
      <c r="R224">
        <v>0</v>
      </c>
      <c r="S224" s="2" t="str">
        <f>TEXT(data[[#This Row],[Date]],"mmm yyyy")</f>
        <v>Jul 2025</v>
      </c>
      <c r="T224" s="8">
        <f>data[[#This Row],[Profit]]/data[[#This Row],[Revenue]]</f>
        <v>7.5959367945823919E-2</v>
      </c>
    </row>
    <row r="225" spans="1:20" x14ac:dyDescent="0.3">
      <c r="A225">
        <v>10223</v>
      </c>
      <c r="B225" t="s">
        <v>206</v>
      </c>
      <c r="C225" t="s">
        <v>606</v>
      </c>
      <c r="D225" t="s">
        <v>625</v>
      </c>
      <c r="E225" t="s">
        <v>627</v>
      </c>
      <c r="F225" t="s">
        <v>848</v>
      </c>
      <c r="G225" t="s">
        <v>1763</v>
      </c>
      <c r="H225" t="s">
        <v>1771</v>
      </c>
      <c r="I225" t="s">
        <v>1775</v>
      </c>
      <c r="J225" t="s">
        <v>1776</v>
      </c>
      <c r="K225">
        <v>3</v>
      </c>
      <c r="L225" s="2">
        <v>372</v>
      </c>
      <c r="M225">
        <v>0.1</v>
      </c>
      <c r="N225" s="2">
        <v>275.56</v>
      </c>
      <c r="O225" s="2">
        <v>1004.4</v>
      </c>
      <c r="P225" s="2">
        <v>826.68</v>
      </c>
      <c r="Q225" s="2">
        <v>177.72</v>
      </c>
      <c r="R225">
        <v>0</v>
      </c>
      <c r="S225" s="2" t="str">
        <f>TEXT(data[[#This Row],[Date]],"mmm yyyy")</f>
        <v>Jan 2025</v>
      </c>
      <c r="T225" s="8">
        <f>data[[#This Row],[Profit]]/data[[#This Row],[Revenue]]</f>
        <v>0.17694145758661889</v>
      </c>
    </row>
    <row r="226" spans="1:20" x14ac:dyDescent="0.3">
      <c r="A226">
        <v>10224</v>
      </c>
      <c r="B226" t="s">
        <v>35</v>
      </c>
      <c r="C226" t="s">
        <v>606</v>
      </c>
      <c r="D226" t="s">
        <v>625</v>
      </c>
      <c r="E226" t="s">
        <v>627</v>
      </c>
      <c r="F226" t="s">
        <v>849</v>
      </c>
      <c r="G226" t="s">
        <v>1760</v>
      </c>
      <c r="H226" t="s">
        <v>1767</v>
      </c>
      <c r="I226" t="s">
        <v>1774</v>
      </c>
      <c r="J226" t="s">
        <v>1779</v>
      </c>
      <c r="K226">
        <v>12</v>
      </c>
      <c r="L226" s="2">
        <v>208</v>
      </c>
      <c r="M226">
        <v>0.05</v>
      </c>
      <c r="N226" s="2">
        <v>146.08000000000001</v>
      </c>
      <c r="O226" s="2">
        <v>2371.1999999999998</v>
      </c>
      <c r="P226" s="2">
        <v>1752.96</v>
      </c>
      <c r="Q226" s="2">
        <v>618.24</v>
      </c>
      <c r="R226">
        <v>0</v>
      </c>
      <c r="S226" s="2" t="str">
        <f>TEXT(data[[#This Row],[Date]],"mmm yyyy")</f>
        <v>Jun 2024</v>
      </c>
      <c r="T226" s="8">
        <f>data[[#This Row],[Profit]]/data[[#This Row],[Revenue]]</f>
        <v>0.26072874493927128</v>
      </c>
    </row>
    <row r="227" spans="1:20" x14ac:dyDescent="0.3">
      <c r="A227">
        <v>10225</v>
      </c>
      <c r="B227" t="s">
        <v>207</v>
      </c>
      <c r="C227" t="s">
        <v>607</v>
      </c>
      <c r="D227" t="s">
        <v>611</v>
      </c>
      <c r="E227" t="s">
        <v>629</v>
      </c>
      <c r="F227" t="s">
        <v>850</v>
      </c>
      <c r="G227" t="s">
        <v>1766</v>
      </c>
      <c r="H227" t="s">
        <v>1767</v>
      </c>
      <c r="I227" t="s">
        <v>1773</v>
      </c>
      <c r="J227" t="s">
        <v>1777</v>
      </c>
      <c r="K227">
        <v>10</v>
      </c>
      <c r="L227" s="2">
        <v>225</v>
      </c>
      <c r="M227">
        <v>0.05</v>
      </c>
      <c r="N227" s="2">
        <v>145.51</v>
      </c>
      <c r="O227" s="2">
        <v>2137.5</v>
      </c>
      <c r="P227" s="2">
        <v>1455.1</v>
      </c>
      <c r="Q227" s="2">
        <v>682.4</v>
      </c>
      <c r="R227">
        <v>0</v>
      </c>
      <c r="S227" s="2" t="str">
        <f>TEXT(data[[#This Row],[Date]],"mmm yyyy")</f>
        <v>Nov 2024</v>
      </c>
      <c r="T227" s="8">
        <f>data[[#This Row],[Profit]]/data[[#This Row],[Revenue]]</f>
        <v>0.31925146198830406</v>
      </c>
    </row>
    <row r="228" spans="1:20" x14ac:dyDescent="0.3">
      <c r="A228">
        <v>10226</v>
      </c>
      <c r="B228" t="s">
        <v>208</v>
      </c>
      <c r="C228" t="s">
        <v>609</v>
      </c>
      <c r="D228" t="s">
        <v>613</v>
      </c>
      <c r="E228" t="s">
        <v>628</v>
      </c>
      <c r="F228" t="s">
        <v>851</v>
      </c>
      <c r="G228" t="s">
        <v>1765</v>
      </c>
      <c r="H228" t="s">
        <v>1772</v>
      </c>
      <c r="I228" t="s">
        <v>1775</v>
      </c>
      <c r="J228" t="s">
        <v>1778</v>
      </c>
      <c r="K228">
        <v>12</v>
      </c>
      <c r="L228" s="2">
        <v>1094</v>
      </c>
      <c r="M228">
        <v>0.15</v>
      </c>
      <c r="N228" s="2">
        <v>644.63</v>
      </c>
      <c r="O228" s="2">
        <v>11158.8</v>
      </c>
      <c r="P228" s="2">
        <v>7735.56</v>
      </c>
      <c r="Q228" s="2">
        <v>3423.24</v>
      </c>
      <c r="R228">
        <v>1</v>
      </c>
      <c r="S228" s="2" t="str">
        <f>TEXT(data[[#This Row],[Date]],"mmm yyyy")</f>
        <v>Mar 2024</v>
      </c>
      <c r="T228" s="8">
        <f>data[[#This Row],[Profit]]/data[[#This Row],[Revenue]]</f>
        <v>0.30677492203462736</v>
      </c>
    </row>
    <row r="229" spans="1:20" x14ac:dyDescent="0.3">
      <c r="A229">
        <v>10227</v>
      </c>
      <c r="B229" t="s">
        <v>209</v>
      </c>
      <c r="C229" t="s">
        <v>609</v>
      </c>
      <c r="D229" t="s">
        <v>613</v>
      </c>
      <c r="E229" t="s">
        <v>627</v>
      </c>
      <c r="F229" t="s">
        <v>852</v>
      </c>
      <c r="G229" t="s">
        <v>1761</v>
      </c>
      <c r="H229" t="s">
        <v>1770</v>
      </c>
      <c r="I229" t="s">
        <v>1773</v>
      </c>
      <c r="J229" t="s">
        <v>1777</v>
      </c>
      <c r="K229">
        <v>8</v>
      </c>
      <c r="L229" s="2">
        <v>674</v>
      </c>
      <c r="M229">
        <v>0</v>
      </c>
      <c r="N229" s="2">
        <v>373.79</v>
      </c>
      <c r="O229" s="2">
        <v>5392</v>
      </c>
      <c r="P229" s="2">
        <v>2990.32</v>
      </c>
      <c r="Q229" s="2">
        <v>2401.6799999999998</v>
      </c>
      <c r="R229">
        <v>1</v>
      </c>
      <c r="S229" s="2" t="str">
        <f>TEXT(data[[#This Row],[Date]],"mmm yyyy")</f>
        <v>Apr 2025</v>
      </c>
      <c r="T229" s="8">
        <f>data[[#This Row],[Profit]]/data[[#This Row],[Revenue]]</f>
        <v>0.44541543026706226</v>
      </c>
    </row>
    <row r="230" spans="1:20" x14ac:dyDescent="0.3">
      <c r="A230">
        <v>10228</v>
      </c>
      <c r="B230" t="s">
        <v>210</v>
      </c>
      <c r="C230" t="s">
        <v>609</v>
      </c>
      <c r="D230" t="s">
        <v>613</v>
      </c>
      <c r="E230" t="s">
        <v>626</v>
      </c>
      <c r="F230" t="s">
        <v>853</v>
      </c>
      <c r="G230" t="s">
        <v>1762</v>
      </c>
      <c r="H230" t="s">
        <v>1769</v>
      </c>
      <c r="I230" t="s">
        <v>1774</v>
      </c>
      <c r="J230" t="s">
        <v>1776</v>
      </c>
      <c r="K230">
        <v>3</v>
      </c>
      <c r="L230" s="2">
        <v>174</v>
      </c>
      <c r="M230">
        <v>0</v>
      </c>
      <c r="N230" s="2">
        <v>122.21</v>
      </c>
      <c r="O230" s="2">
        <v>522</v>
      </c>
      <c r="P230" s="2">
        <v>366.63</v>
      </c>
      <c r="Q230" s="2">
        <v>155.37</v>
      </c>
      <c r="R230">
        <v>0</v>
      </c>
      <c r="S230" s="2" t="str">
        <f>TEXT(data[[#This Row],[Date]],"mmm yyyy")</f>
        <v>May 2024</v>
      </c>
      <c r="T230" s="8">
        <f>data[[#This Row],[Profit]]/data[[#This Row],[Revenue]]</f>
        <v>0.29764367816091952</v>
      </c>
    </row>
    <row r="231" spans="1:20" x14ac:dyDescent="0.3">
      <c r="A231">
        <v>10229</v>
      </c>
      <c r="B231" t="s">
        <v>211</v>
      </c>
      <c r="C231" t="s">
        <v>606</v>
      </c>
      <c r="D231" t="s">
        <v>620</v>
      </c>
      <c r="E231" t="s">
        <v>629</v>
      </c>
      <c r="F231" t="s">
        <v>854</v>
      </c>
      <c r="G231" t="s">
        <v>1760</v>
      </c>
      <c r="H231" t="s">
        <v>1771</v>
      </c>
      <c r="I231" t="s">
        <v>1775</v>
      </c>
      <c r="J231" t="s">
        <v>1776</v>
      </c>
      <c r="K231">
        <v>11</v>
      </c>
      <c r="L231" s="2">
        <v>464</v>
      </c>
      <c r="M231">
        <v>0</v>
      </c>
      <c r="N231" s="2">
        <v>307.27999999999997</v>
      </c>
      <c r="O231" s="2">
        <v>5104</v>
      </c>
      <c r="P231" s="2">
        <v>3380.08</v>
      </c>
      <c r="Q231" s="2">
        <v>1723.92</v>
      </c>
      <c r="R231">
        <v>1</v>
      </c>
      <c r="S231" s="2" t="str">
        <f>TEXT(data[[#This Row],[Date]],"mmm yyyy")</f>
        <v>Sep 2025</v>
      </c>
      <c r="T231" s="8">
        <f>data[[#This Row],[Profit]]/data[[#This Row],[Revenue]]</f>
        <v>0.33775862068965518</v>
      </c>
    </row>
    <row r="232" spans="1:20" x14ac:dyDescent="0.3">
      <c r="A232">
        <v>10230</v>
      </c>
      <c r="B232" t="s">
        <v>212</v>
      </c>
      <c r="C232" t="s">
        <v>609</v>
      </c>
      <c r="D232" t="s">
        <v>623</v>
      </c>
      <c r="E232" t="s">
        <v>629</v>
      </c>
      <c r="F232" t="s">
        <v>855</v>
      </c>
      <c r="G232" t="s">
        <v>1760</v>
      </c>
      <c r="H232" t="s">
        <v>1767</v>
      </c>
      <c r="I232" t="s">
        <v>1775</v>
      </c>
      <c r="J232" t="s">
        <v>1778</v>
      </c>
      <c r="K232">
        <v>13</v>
      </c>
      <c r="L232" s="2">
        <v>233</v>
      </c>
      <c r="M232">
        <v>0.1</v>
      </c>
      <c r="N232" s="2">
        <v>171.27</v>
      </c>
      <c r="O232" s="2">
        <v>2726.1</v>
      </c>
      <c r="P232" s="2">
        <v>2226.5100000000002</v>
      </c>
      <c r="Q232" s="2">
        <v>499.59</v>
      </c>
      <c r="R232">
        <v>0</v>
      </c>
      <c r="S232" s="2" t="str">
        <f>TEXT(data[[#This Row],[Date]],"mmm yyyy")</f>
        <v>Jan 2024</v>
      </c>
      <c r="T232" s="8">
        <f>data[[#This Row],[Profit]]/data[[#This Row],[Revenue]]</f>
        <v>0.1832618025751073</v>
      </c>
    </row>
    <row r="233" spans="1:20" x14ac:dyDescent="0.3">
      <c r="A233">
        <v>10231</v>
      </c>
      <c r="B233" t="s">
        <v>213</v>
      </c>
      <c r="C233" t="s">
        <v>608</v>
      </c>
      <c r="D233" t="s">
        <v>614</v>
      </c>
      <c r="E233" t="s">
        <v>629</v>
      </c>
      <c r="F233" t="s">
        <v>856</v>
      </c>
      <c r="G233" t="s">
        <v>1766</v>
      </c>
      <c r="H233" t="s">
        <v>1768</v>
      </c>
      <c r="I233" t="s">
        <v>1774</v>
      </c>
      <c r="J233" t="s">
        <v>1777</v>
      </c>
      <c r="K233">
        <v>7</v>
      </c>
      <c r="L233" s="2">
        <v>959</v>
      </c>
      <c r="M233">
        <v>0.05</v>
      </c>
      <c r="N233" s="2">
        <v>606.44000000000005</v>
      </c>
      <c r="O233" s="2">
        <v>6377.35</v>
      </c>
      <c r="P233" s="2">
        <v>4245.08</v>
      </c>
      <c r="Q233" s="2">
        <v>2132.27</v>
      </c>
      <c r="R233">
        <v>0</v>
      </c>
      <c r="S233" s="2" t="str">
        <f>TEXT(data[[#This Row],[Date]],"mmm yyyy")</f>
        <v>Jan 2025</v>
      </c>
      <c r="T233" s="8">
        <f>data[[#This Row],[Profit]]/data[[#This Row],[Revenue]]</f>
        <v>0.33435047472696339</v>
      </c>
    </row>
    <row r="234" spans="1:20" x14ac:dyDescent="0.3">
      <c r="A234">
        <v>10232</v>
      </c>
      <c r="B234" t="s">
        <v>214</v>
      </c>
      <c r="C234" t="s">
        <v>606</v>
      </c>
      <c r="D234" t="s">
        <v>610</v>
      </c>
      <c r="E234" t="s">
        <v>628</v>
      </c>
      <c r="F234" t="s">
        <v>857</v>
      </c>
      <c r="G234" t="s">
        <v>1766</v>
      </c>
      <c r="H234" t="s">
        <v>1770</v>
      </c>
      <c r="I234" t="s">
        <v>1774</v>
      </c>
      <c r="J234" t="s">
        <v>1778</v>
      </c>
      <c r="K234">
        <v>16</v>
      </c>
      <c r="L234" s="2">
        <v>664</v>
      </c>
      <c r="M234">
        <v>0</v>
      </c>
      <c r="N234" s="2">
        <v>460.81</v>
      </c>
      <c r="O234" s="2">
        <v>10624</v>
      </c>
      <c r="P234" s="2">
        <v>7372.96</v>
      </c>
      <c r="Q234" s="2">
        <v>3251.04</v>
      </c>
      <c r="R234">
        <v>0</v>
      </c>
      <c r="S234" s="2" t="str">
        <f>TEXT(data[[#This Row],[Date]],"mmm yyyy")</f>
        <v>Oct 2025</v>
      </c>
      <c r="T234" s="8">
        <f>data[[#This Row],[Profit]]/data[[#This Row],[Revenue]]</f>
        <v>0.30600903614457831</v>
      </c>
    </row>
    <row r="235" spans="1:20" x14ac:dyDescent="0.3">
      <c r="A235">
        <v>10233</v>
      </c>
      <c r="B235" t="s">
        <v>35</v>
      </c>
      <c r="C235" t="s">
        <v>608</v>
      </c>
      <c r="D235" t="s">
        <v>612</v>
      </c>
      <c r="E235" t="s">
        <v>627</v>
      </c>
      <c r="F235" t="s">
        <v>858</v>
      </c>
      <c r="G235" t="s">
        <v>1761</v>
      </c>
      <c r="H235" t="s">
        <v>1768</v>
      </c>
      <c r="I235" t="s">
        <v>1773</v>
      </c>
      <c r="J235" t="s">
        <v>1777</v>
      </c>
      <c r="K235">
        <v>16</v>
      </c>
      <c r="L235" s="2">
        <v>1371</v>
      </c>
      <c r="M235">
        <v>0</v>
      </c>
      <c r="N235" s="2">
        <v>910.13</v>
      </c>
      <c r="O235" s="2">
        <v>21936</v>
      </c>
      <c r="P235" s="2">
        <v>14562.08</v>
      </c>
      <c r="Q235" s="2">
        <v>7373.92</v>
      </c>
      <c r="R235">
        <v>0</v>
      </c>
      <c r="S235" s="2" t="str">
        <f>TEXT(data[[#This Row],[Date]],"mmm yyyy")</f>
        <v>Jun 2024</v>
      </c>
      <c r="T235" s="8">
        <f>data[[#This Row],[Profit]]/data[[#This Row],[Revenue]]</f>
        <v>0.33615609044493072</v>
      </c>
    </row>
    <row r="236" spans="1:20" x14ac:dyDescent="0.3">
      <c r="A236">
        <v>10234</v>
      </c>
      <c r="B236" t="s">
        <v>215</v>
      </c>
      <c r="C236" t="s">
        <v>609</v>
      </c>
      <c r="D236" t="s">
        <v>622</v>
      </c>
      <c r="E236" t="s">
        <v>629</v>
      </c>
      <c r="F236" t="s">
        <v>859</v>
      </c>
      <c r="G236" t="s">
        <v>1765</v>
      </c>
      <c r="H236" t="s">
        <v>1769</v>
      </c>
      <c r="I236" t="s">
        <v>1774</v>
      </c>
      <c r="J236" t="s">
        <v>1777</v>
      </c>
      <c r="K236">
        <v>7</v>
      </c>
      <c r="L236" s="2">
        <v>406</v>
      </c>
      <c r="M236">
        <v>0.2</v>
      </c>
      <c r="N236" s="2">
        <v>281.89999999999998</v>
      </c>
      <c r="O236" s="2">
        <v>2273.6</v>
      </c>
      <c r="P236" s="2">
        <v>1973.3</v>
      </c>
      <c r="Q236" s="2">
        <v>300.3</v>
      </c>
      <c r="R236">
        <v>0</v>
      </c>
      <c r="S236" s="2" t="str">
        <f>TEXT(data[[#This Row],[Date]],"mmm yyyy")</f>
        <v>Sep 2025</v>
      </c>
      <c r="T236" s="8">
        <f>data[[#This Row],[Profit]]/data[[#This Row],[Revenue]]</f>
        <v>0.13208128078817735</v>
      </c>
    </row>
    <row r="237" spans="1:20" x14ac:dyDescent="0.3">
      <c r="A237">
        <v>10235</v>
      </c>
      <c r="B237" t="s">
        <v>216</v>
      </c>
      <c r="C237" t="s">
        <v>609</v>
      </c>
      <c r="D237" t="s">
        <v>623</v>
      </c>
      <c r="E237" t="s">
        <v>628</v>
      </c>
      <c r="F237" t="s">
        <v>860</v>
      </c>
      <c r="G237" t="s">
        <v>1766</v>
      </c>
      <c r="H237" t="s">
        <v>1770</v>
      </c>
      <c r="I237" t="s">
        <v>1773</v>
      </c>
      <c r="J237" t="s">
        <v>1776</v>
      </c>
      <c r="K237">
        <v>15</v>
      </c>
      <c r="L237" s="2">
        <v>648</v>
      </c>
      <c r="M237">
        <v>0.15</v>
      </c>
      <c r="N237" s="2">
        <v>358.53</v>
      </c>
      <c r="O237" s="2">
        <v>8262</v>
      </c>
      <c r="P237" s="2">
        <v>5377.95</v>
      </c>
      <c r="Q237" s="2">
        <v>2884.05</v>
      </c>
      <c r="R237">
        <v>0</v>
      </c>
      <c r="S237" s="2" t="str">
        <f>TEXT(data[[#This Row],[Date]],"mmm yyyy")</f>
        <v>Feb 2025</v>
      </c>
      <c r="T237" s="8">
        <f>data[[#This Row],[Profit]]/data[[#This Row],[Revenue]]</f>
        <v>0.34907407407407409</v>
      </c>
    </row>
    <row r="238" spans="1:20" x14ac:dyDescent="0.3">
      <c r="A238">
        <v>10236</v>
      </c>
      <c r="B238" t="s">
        <v>217</v>
      </c>
      <c r="C238" t="s">
        <v>609</v>
      </c>
      <c r="D238" t="s">
        <v>622</v>
      </c>
      <c r="E238" t="s">
        <v>628</v>
      </c>
      <c r="F238" t="s">
        <v>861</v>
      </c>
      <c r="G238" t="s">
        <v>1760</v>
      </c>
      <c r="H238" t="s">
        <v>1770</v>
      </c>
      <c r="I238" t="s">
        <v>1775</v>
      </c>
      <c r="J238" t="s">
        <v>1776</v>
      </c>
      <c r="K238">
        <v>12</v>
      </c>
      <c r="L238" s="2">
        <v>811</v>
      </c>
      <c r="M238">
        <v>0</v>
      </c>
      <c r="N238" s="2">
        <v>451.75</v>
      </c>
      <c r="O238" s="2">
        <v>9732</v>
      </c>
      <c r="P238" s="2">
        <v>5421</v>
      </c>
      <c r="Q238" s="2">
        <v>4311</v>
      </c>
      <c r="R238">
        <v>1</v>
      </c>
      <c r="S238" s="2" t="str">
        <f>TEXT(data[[#This Row],[Date]],"mmm yyyy")</f>
        <v>Feb 2025</v>
      </c>
      <c r="T238" s="8">
        <f>data[[#This Row],[Profit]]/data[[#This Row],[Revenue]]</f>
        <v>0.44297163995067818</v>
      </c>
    </row>
    <row r="239" spans="1:20" x14ac:dyDescent="0.3">
      <c r="A239">
        <v>10237</v>
      </c>
      <c r="B239" t="s">
        <v>218</v>
      </c>
      <c r="C239" t="s">
        <v>606</v>
      </c>
      <c r="D239" t="s">
        <v>616</v>
      </c>
      <c r="E239" t="s">
        <v>629</v>
      </c>
      <c r="F239" t="s">
        <v>862</v>
      </c>
      <c r="G239" t="s">
        <v>1764</v>
      </c>
      <c r="H239" t="s">
        <v>1771</v>
      </c>
      <c r="I239" t="s">
        <v>1773</v>
      </c>
      <c r="J239" t="s">
        <v>1777</v>
      </c>
      <c r="K239">
        <v>12</v>
      </c>
      <c r="L239" s="2">
        <v>418</v>
      </c>
      <c r="M239">
        <v>0.05</v>
      </c>
      <c r="N239" s="2">
        <v>243.07</v>
      </c>
      <c r="O239" s="2">
        <v>4765.2</v>
      </c>
      <c r="P239" s="2">
        <v>2916.84</v>
      </c>
      <c r="Q239" s="2">
        <v>1848.36</v>
      </c>
      <c r="R239">
        <v>1</v>
      </c>
      <c r="S239" s="2" t="str">
        <f>TEXT(data[[#This Row],[Date]],"mmm yyyy")</f>
        <v>Oct 2025</v>
      </c>
      <c r="T239" s="8">
        <f>data[[#This Row],[Profit]]/data[[#This Row],[Revenue]]</f>
        <v>0.38788718207000755</v>
      </c>
    </row>
    <row r="240" spans="1:20" x14ac:dyDescent="0.3">
      <c r="A240">
        <v>10238</v>
      </c>
      <c r="B240" t="s">
        <v>219</v>
      </c>
      <c r="C240" t="s">
        <v>607</v>
      </c>
      <c r="D240" t="s">
        <v>617</v>
      </c>
      <c r="E240" t="s">
        <v>627</v>
      </c>
      <c r="F240" t="s">
        <v>863</v>
      </c>
      <c r="G240" t="s">
        <v>1764</v>
      </c>
      <c r="H240" t="s">
        <v>1771</v>
      </c>
      <c r="I240" t="s">
        <v>1773</v>
      </c>
      <c r="J240" t="s">
        <v>1776</v>
      </c>
      <c r="K240">
        <v>10</v>
      </c>
      <c r="L240" s="2">
        <v>453</v>
      </c>
      <c r="M240">
        <v>0</v>
      </c>
      <c r="N240" s="2">
        <v>264.05</v>
      </c>
      <c r="O240" s="2">
        <v>4530</v>
      </c>
      <c r="P240" s="2">
        <v>2640.5</v>
      </c>
      <c r="Q240" s="2">
        <v>1889.5</v>
      </c>
      <c r="R240">
        <v>1</v>
      </c>
      <c r="S240" s="2" t="str">
        <f>TEXT(data[[#This Row],[Date]],"mmm yyyy")</f>
        <v>Sep 2024</v>
      </c>
      <c r="T240" s="8">
        <f>data[[#This Row],[Profit]]/data[[#This Row],[Revenue]]</f>
        <v>0.41710816777041942</v>
      </c>
    </row>
    <row r="241" spans="1:20" x14ac:dyDescent="0.3">
      <c r="A241">
        <v>10239</v>
      </c>
      <c r="B241" t="s">
        <v>220</v>
      </c>
      <c r="C241" t="s">
        <v>608</v>
      </c>
      <c r="D241" t="s">
        <v>612</v>
      </c>
      <c r="E241" t="s">
        <v>626</v>
      </c>
      <c r="F241" t="s">
        <v>864</v>
      </c>
      <c r="G241" t="s">
        <v>1765</v>
      </c>
      <c r="H241" t="s">
        <v>1768</v>
      </c>
      <c r="I241" t="s">
        <v>1773</v>
      </c>
      <c r="J241" t="s">
        <v>1777</v>
      </c>
      <c r="K241">
        <v>6</v>
      </c>
      <c r="L241" s="2">
        <v>1249</v>
      </c>
      <c r="M241">
        <v>0.15</v>
      </c>
      <c r="N241" s="2">
        <v>894.27</v>
      </c>
      <c r="O241" s="2">
        <v>6369.9</v>
      </c>
      <c r="P241" s="2">
        <v>5365.62</v>
      </c>
      <c r="Q241" s="2">
        <v>1004.28</v>
      </c>
      <c r="R241">
        <v>0</v>
      </c>
      <c r="S241" s="2" t="str">
        <f>TEXT(data[[#This Row],[Date]],"mmm yyyy")</f>
        <v>Dec 2025</v>
      </c>
      <c r="T241" s="8">
        <f>data[[#This Row],[Profit]]/data[[#This Row],[Revenue]]</f>
        <v>0.15766024584373381</v>
      </c>
    </row>
    <row r="242" spans="1:20" x14ac:dyDescent="0.3">
      <c r="A242">
        <v>10240</v>
      </c>
      <c r="B242" t="s">
        <v>64</v>
      </c>
      <c r="C242" t="s">
        <v>606</v>
      </c>
      <c r="D242" t="s">
        <v>610</v>
      </c>
      <c r="E242" t="s">
        <v>628</v>
      </c>
      <c r="F242" t="s">
        <v>865</v>
      </c>
      <c r="G242" t="s">
        <v>1763</v>
      </c>
      <c r="H242" t="s">
        <v>1769</v>
      </c>
      <c r="I242" t="s">
        <v>1775</v>
      </c>
      <c r="J242" t="s">
        <v>1776</v>
      </c>
      <c r="K242">
        <v>4</v>
      </c>
      <c r="L242" s="2">
        <v>330</v>
      </c>
      <c r="M242">
        <v>0.05</v>
      </c>
      <c r="N242" s="2">
        <v>203.32</v>
      </c>
      <c r="O242" s="2">
        <v>1254</v>
      </c>
      <c r="P242" s="2">
        <v>813.28</v>
      </c>
      <c r="Q242" s="2">
        <v>440.72</v>
      </c>
      <c r="R242">
        <v>1</v>
      </c>
      <c r="S242" s="2" t="str">
        <f>TEXT(data[[#This Row],[Date]],"mmm yyyy")</f>
        <v>Apr 2024</v>
      </c>
      <c r="T242" s="8">
        <f>data[[#This Row],[Profit]]/data[[#This Row],[Revenue]]</f>
        <v>0.35145135566188201</v>
      </c>
    </row>
    <row r="243" spans="1:20" x14ac:dyDescent="0.3">
      <c r="A243">
        <v>10241</v>
      </c>
      <c r="B243" t="s">
        <v>113</v>
      </c>
      <c r="C243" t="s">
        <v>608</v>
      </c>
      <c r="D243" t="s">
        <v>618</v>
      </c>
      <c r="E243" t="s">
        <v>628</v>
      </c>
      <c r="F243" t="s">
        <v>866</v>
      </c>
      <c r="G243" t="s">
        <v>1760</v>
      </c>
      <c r="H243" t="s">
        <v>1770</v>
      </c>
      <c r="I243" t="s">
        <v>1773</v>
      </c>
      <c r="J243" t="s">
        <v>1778</v>
      </c>
      <c r="K243">
        <v>2</v>
      </c>
      <c r="L243" s="2">
        <v>415</v>
      </c>
      <c r="M243">
        <v>0.05</v>
      </c>
      <c r="N243" s="2">
        <v>259.87</v>
      </c>
      <c r="O243" s="2">
        <v>788.5</v>
      </c>
      <c r="P243" s="2">
        <v>519.74</v>
      </c>
      <c r="Q243" s="2">
        <v>268.76</v>
      </c>
      <c r="R243">
        <v>0</v>
      </c>
      <c r="S243" s="2" t="str">
        <f>TEXT(data[[#This Row],[Date]],"mmm yyyy")</f>
        <v>Aug 2025</v>
      </c>
      <c r="T243" s="8">
        <f>data[[#This Row],[Profit]]/data[[#This Row],[Revenue]]</f>
        <v>0.34084971464806596</v>
      </c>
    </row>
    <row r="244" spans="1:20" x14ac:dyDescent="0.3">
      <c r="A244">
        <v>10242</v>
      </c>
      <c r="B244" t="s">
        <v>221</v>
      </c>
      <c r="C244" t="s">
        <v>609</v>
      </c>
      <c r="D244" t="s">
        <v>622</v>
      </c>
      <c r="E244" t="s">
        <v>627</v>
      </c>
      <c r="F244" t="s">
        <v>867</v>
      </c>
      <c r="G244" t="s">
        <v>1761</v>
      </c>
      <c r="H244" t="s">
        <v>1768</v>
      </c>
      <c r="I244" t="s">
        <v>1774</v>
      </c>
      <c r="J244" t="s">
        <v>1778</v>
      </c>
      <c r="K244">
        <v>5</v>
      </c>
      <c r="L244" s="2">
        <v>1299</v>
      </c>
      <c r="M244">
        <v>0.2</v>
      </c>
      <c r="N244" s="2">
        <v>788.65</v>
      </c>
      <c r="O244" s="2">
        <v>5196</v>
      </c>
      <c r="P244" s="2">
        <v>3943.25</v>
      </c>
      <c r="Q244" s="2">
        <v>1252.75</v>
      </c>
      <c r="R244">
        <v>0</v>
      </c>
      <c r="S244" s="2" t="str">
        <f>TEXT(data[[#This Row],[Date]],"mmm yyyy")</f>
        <v>Aug 2024</v>
      </c>
      <c r="T244" s="8">
        <f>data[[#This Row],[Profit]]/data[[#This Row],[Revenue]]</f>
        <v>0.24109892224788299</v>
      </c>
    </row>
    <row r="245" spans="1:20" x14ac:dyDescent="0.3">
      <c r="A245">
        <v>10243</v>
      </c>
      <c r="B245" t="s">
        <v>222</v>
      </c>
      <c r="C245" t="s">
        <v>607</v>
      </c>
      <c r="D245" t="s">
        <v>624</v>
      </c>
      <c r="E245" t="s">
        <v>629</v>
      </c>
      <c r="F245" t="s">
        <v>868</v>
      </c>
      <c r="G245" t="s">
        <v>1761</v>
      </c>
      <c r="H245" t="s">
        <v>1772</v>
      </c>
      <c r="I245" t="s">
        <v>1773</v>
      </c>
      <c r="J245" t="s">
        <v>1777</v>
      </c>
      <c r="K245">
        <v>8</v>
      </c>
      <c r="L245" s="2">
        <v>720</v>
      </c>
      <c r="M245">
        <v>0</v>
      </c>
      <c r="N245" s="2">
        <v>409.14</v>
      </c>
      <c r="O245" s="2">
        <v>5760</v>
      </c>
      <c r="P245" s="2">
        <v>3273.12</v>
      </c>
      <c r="Q245" s="2">
        <v>2486.88</v>
      </c>
      <c r="R245">
        <v>0</v>
      </c>
      <c r="S245" s="2" t="str">
        <f>TEXT(data[[#This Row],[Date]],"mmm yyyy")</f>
        <v>Jan 2024</v>
      </c>
      <c r="T245" s="8">
        <f>data[[#This Row],[Profit]]/data[[#This Row],[Revenue]]</f>
        <v>0.43175000000000002</v>
      </c>
    </row>
    <row r="246" spans="1:20" x14ac:dyDescent="0.3">
      <c r="A246">
        <v>10244</v>
      </c>
      <c r="B246" t="s">
        <v>223</v>
      </c>
      <c r="C246" t="s">
        <v>609</v>
      </c>
      <c r="D246" t="s">
        <v>619</v>
      </c>
      <c r="E246" t="s">
        <v>628</v>
      </c>
      <c r="F246" t="s">
        <v>869</v>
      </c>
      <c r="G246" t="s">
        <v>1762</v>
      </c>
      <c r="H246" t="s">
        <v>1769</v>
      </c>
      <c r="I246" t="s">
        <v>1774</v>
      </c>
      <c r="J246" t="s">
        <v>1778</v>
      </c>
      <c r="K246">
        <v>9</v>
      </c>
      <c r="L246" s="2">
        <v>335</v>
      </c>
      <c r="M246">
        <v>0</v>
      </c>
      <c r="N246" s="2">
        <v>194.78</v>
      </c>
      <c r="O246" s="2">
        <v>3015</v>
      </c>
      <c r="P246" s="2">
        <v>1753.02</v>
      </c>
      <c r="Q246" s="2">
        <v>1261.98</v>
      </c>
      <c r="R246">
        <v>0</v>
      </c>
      <c r="S246" s="2" t="str">
        <f>TEXT(data[[#This Row],[Date]],"mmm yyyy")</f>
        <v>Oct 2025</v>
      </c>
      <c r="T246" s="8">
        <f>data[[#This Row],[Profit]]/data[[#This Row],[Revenue]]</f>
        <v>0.4185671641791045</v>
      </c>
    </row>
    <row r="247" spans="1:20" x14ac:dyDescent="0.3">
      <c r="A247">
        <v>10245</v>
      </c>
      <c r="B247" t="s">
        <v>224</v>
      </c>
      <c r="C247" t="s">
        <v>607</v>
      </c>
      <c r="D247" t="s">
        <v>617</v>
      </c>
      <c r="E247" t="s">
        <v>628</v>
      </c>
      <c r="F247" t="s">
        <v>870</v>
      </c>
      <c r="G247" t="s">
        <v>1765</v>
      </c>
      <c r="H247" t="s">
        <v>1767</v>
      </c>
      <c r="I247" t="s">
        <v>1774</v>
      </c>
      <c r="J247" t="s">
        <v>1776</v>
      </c>
      <c r="K247">
        <v>11</v>
      </c>
      <c r="L247" s="2">
        <v>188</v>
      </c>
      <c r="M247">
        <v>0.2</v>
      </c>
      <c r="N247" s="2">
        <v>113.7</v>
      </c>
      <c r="O247" s="2">
        <v>1654.4</v>
      </c>
      <c r="P247" s="2">
        <v>1250.7</v>
      </c>
      <c r="Q247" s="2">
        <v>403.7</v>
      </c>
      <c r="R247">
        <v>0</v>
      </c>
      <c r="S247" s="2" t="str">
        <f>TEXT(data[[#This Row],[Date]],"mmm yyyy")</f>
        <v>Jan 2025</v>
      </c>
      <c r="T247" s="8">
        <f>data[[#This Row],[Profit]]/data[[#This Row],[Revenue]]</f>
        <v>0.24401595744680848</v>
      </c>
    </row>
    <row r="248" spans="1:20" x14ac:dyDescent="0.3">
      <c r="A248">
        <v>10246</v>
      </c>
      <c r="B248" t="s">
        <v>225</v>
      </c>
      <c r="C248" t="s">
        <v>608</v>
      </c>
      <c r="D248" t="s">
        <v>612</v>
      </c>
      <c r="E248" t="s">
        <v>626</v>
      </c>
      <c r="F248" t="s">
        <v>871</v>
      </c>
      <c r="G248" t="s">
        <v>1763</v>
      </c>
      <c r="H248" t="s">
        <v>1770</v>
      </c>
      <c r="I248" t="s">
        <v>1774</v>
      </c>
      <c r="J248" t="s">
        <v>1778</v>
      </c>
      <c r="K248">
        <v>8</v>
      </c>
      <c r="L248" s="2">
        <v>786</v>
      </c>
      <c r="M248">
        <v>0.05</v>
      </c>
      <c r="N248" s="2">
        <v>523.36</v>
      </c>
      <c r="O248" s="2">
        <v>5973.6</v>
      </c>
      <c r="P248" s="2">
        <v>4186.88</v>
      </c>
      <c r="Q248" s="2">
        <v>1786.72</v>
      </c>
      <c r="R248">
        <v>0</v>
      </c>
      <c r="S248" s="2" t="str">
        <f>TEXT(data[[#This Row],[Date]],"mmm yyyy")</f>
        <v>Sep 2025</v>
      </c>
      <c r="T248" s="8">
        <f>data[[#This Row],[Profit]]/data[[#This Row],[Revenue]]</f>
        <v>0.29910271862863264</v>
      </c>
    </row>
    <row r="249" spans="1:20" x14ac:dyDescent="0.3">
      <c r="A249">
        <v>10247</v>
      </c>
      <c r="B249" t="s">
        <v>226</v>
      </c>
      <c r="C249" t="s">
        <v>607</v>
      </c>
      <c r="D249" t="s">
        <v>617</v>
      </c>
      <c r="E249" t="s">
        <v>629</v>
      </c>
      <c r="F249" t="s">
        <v>872</v>
      </c>
      <c r="G249" t="s">
        <v>1763</v>
      </c>
      <c r="H249" t="s">
        <v>1767</v>
      </c>
      <c r="I249" t="s">
        <v>1773</v>
      </c>
      <c r="J249" t="s">
        <v>1779</v>
      </c>
      <c r="K249">
        <v>1</v>
      </c>
      <c r="L249" s="2">
        <v>227</v>
      </c>
      <c r="M249">
        <v>0.15</v>
      </c>
      <c r="N249" s="2">
        <v>155.85</v>
      </c>
      <c r="O249" s="2">
        <v>192.95</v>
      </c>
      <c r="P249" s="2">
        <v>155.85</v>
      </c>
      <c r="Q249" s="2">
        <v>37.1</v>
      </c>
      <c r="R249">
        <v>1</v>
      </c>
      <c r="S249" s="2" t="str">
        <f>TEXT(data[[#This Row],[Date]],"mmm yyyy")</f>
        <v>Jun 2025</v>
      </c>
      <c r="T249" s="8">
        <f>data[[#This Row],[Profit]]/data[[#This Row],[Revenue]]</f>
        <v>0.1922777921741384</v>
      </c>
    </row>
    <row r="250" spans="1:20" x14ac:dyDescent="0.3">
      <c r="A250">
        <v>10248</v>
      </c>
      <c r="B250" t="s">
        <v>227</v>
      </c>
      <c r="C250" t="s">
        <v>606</v>
      </c>
      <c r="D250" t="s">
        <v>620</v>
      </c>
      <c r="E250" t="s">
        <v>627</v>
      </c>
      <c r="F250" t="s">
        <v>873</v>
      </c>
      <c r="G250" t="s">
        <v>1762</v>
      </c>
      <c r="H250" t="s">
        <v>1767</v>
      </c>
      <c r="I250" t="s">
        <v>1775</v>
      </c>
      <c r="J250" t="s">
        <v>1778</v>
      </c>
      <c r="K250">
        <v>9</v>
      </c>
      <c r="L250" s="2">
        <v>214</v>
      </c>
      <c r="M250">
        <v>0.2</v>
      </c>
      <c r="N250" s="2">
        <v>142.29</v>
      </c>
      <c r="O250" s="2">
        <v>1540.8</v>
      </c>
      <c r="P250" s="2">
        <v>1280.6099999999999</v>
      </c>
      <c r="Q250" s="2">
        <v>260.19</v>
      </c>
      <c r="R250">
        <v>0</v>
      </c>
      <c r="S250" s="2" t="str">
        <f>TEXT(data[[#This Row],[Date]],"mmm yyyy")</f>
        <v>Mar 2024</v>
      </c>
      <c r="T250" s="8">
        <f>data[[#This Row],[Profit]]/data[[#This Row],[Revenue]]</f>
        <v>0.16886682242990655</v>
      </c>
    </row>
    <row r="251" spans="1:20" x14ac:dyDescent="0.3">
      <c r="A251">
        <v>10249</v>
      </c>
      <c r="B251" t="s">
        <v>18</v>
      </c>
      <c r="C251" t="s">
        <v>607</v>
      </c>
      <c r="D251" t="s">
        <v>621</v>
      </c>
      <c r="E251" t="s">
        <v>627</v>
      </c>
      <c r="F251" t="s">
        <v>874</v>
      </c>
      <c r="G251" t="s">
        <v>1765</v>
      </c>
      <c r="H251" t="s">
        <v>1771</v>
      </c>
      <c r="I251" t="s">
        <v>1774</v>
      </c>
      <c r="J251" t="s">
        <v>1779</v>
      </c>
      <c r="K251">
        <v>17</v>
      </c>
      <c r="L251" s="2">
        <v>333</v>
      </c>
      <c r="M251">
        <v>0.1</v>
      </c>
      <c r="N251" s="2">
        <v>210.12</v>
      </c>
      <c r="O251" s="2">
        <v>5094.8999999999996</v>
      </c>
      <c r="P251" s="2">
        <v>3572.04</v>
      </c>
      <c r="Q251" s="2">
        <v>1522.86</v>
      </c>
      <c r="R251">
        <v>0</v>
      </c>
      <c r="S251" s="2" t="str">
        <f>TEXT(data[[#This Row],[Date]],"mmm yyyy")</f>
        <v>Jan 2025</v>
      </c>
      <c r="T251" s="8">
        <f>data[[#This Row],[Profit]]/data[[#This Row],[Revenue]]</f>
        <v>0.29889889889889892</v>
      </c>
    </row>
    <row r="252" spans="1:20" x14ac:dyDescent="0.3">
      <c r="A252">
        <v>10250</v>
      </c>
      <c r="B252" t="s">
        <v>228</v>
      </c>
      <c r="C252" t="s">
        <v>608</v>
      </c>
      <c r="D252" t="s">
        <v>614</v>
      </c>
      <c r="E252" t="s">
        <v>629</v>
      </c>
      <c r="F252" t="s">
        <v>875</v>
      </c>
      <c r="G252" t="s">
        <v>1761</v>
      </c>
      <c r="H252" t="s">
        <v>1772</v>
      </c>
      <c r="I252" t="s">
        <v>1775</v>
      </c>
      <c r="J252" t="s">
        <v>1778</v>
      </c>
      <c r="K252">
        <v>12</v>
      </c>
      <c r="L252" s="2">
        <v>890</v>
      </c>
      <c r="M252">
        <v>0.15</v>
      </c>
      <c r="N252" s="2">
        <v>472.38</v>
      </c>
      <c r="O252" s="2">
        <v>9078</v>
      </c>
      <c r="P252" s="2">
        <v>5668.56</v>
      </c>
      <c r="Q252" s="2">
        <v>3409.44</v>
      </c>
      <c r="R252">
        <v>0</v>
      </c>
      <c r="S252" s="2" t="str">
        <f>TEXT(data[[#This Row],[Date]],"mmm yyyy")</f>
        <v>Dec 2025</v>
      </c>
      <c r="T252" s="8">
        <f>data[[#This Row],[Profit]]/data[[#This Row],[Revenue]]</f>
        <v>0.37557171183079974</v>
      </c>
    </row>
    <row r="253" spans="1:20" x14ac:dyDescent="0.3">
      <c r="A253">
        <v>10251</v>
      </c>
      <c r="B253" t="s">
        <v>229</v>
      </c>
      <c r="C253" t="s">
        <v>606</v>
      </c>
      <c r="D253" t="s">
        <v>616</v>
      </c>
      <c r="E253" t="s">
        <v>626</v>
      </c>
      <c r="F253" t="s">
        <v>876</v>
      </c>
      <c r="G253" t="s">
        <v>1764</v>
      </c>
      <c r="H253" t="s">
        <v>1770</v>
      </c>
      <c r="I253" t="s">
        <v>1774</v>
      </c>
      <c r="J253" t="s">
        <v>1777</v>
      </c>
      <c r="K253">
        <v>9</v>
      </c>
      <c r="L253" s="2">
        <v>490</v>
      </c>
      <c r="M253">
        <v>0.15</v>
      </c>
      <c r="N253" s="2">
        <v>280.58999999999997</v>
      </c>
      <c r="O253" s="2">
        <v>3748.5</v>
      </c>
      <c r="P253" s="2">
        <v>2525.31</v>
      </c>
      <c r="Q253" s="2">
        <v>1223.19</v>
      </c>
      <c r="R253">
        <v>1</v>
      </c>
      <c r="S253" s="2" t="str">
        <f>TEXT(data[[#This Row],[Date]],"mmm yyyy")</f>
        <v>Dec 2025</v>
      </c>
      <c r="T253" s="8">
        <f>data[[#This Row],[Profit]]/data[[#This Row],[Revenue]]</f>
        <v>0.32631452581032416</v>
      </c>
    </row>
    <row r="254" spans="1:20" x14ac:dyDescent="0.3">
      <c r="A254">
        <v>10252</v>
      </c>
      <c r="B254" t="s">
        <v>230</v>
      </c>
      <c r="C254" t="s">
        <v>608</v>
      </c>
      <c r="D254" t="s">
        <v>614</v>
      </c>
      <c r="E254" t="s">
        <v>629</v>
      </c>
      <c r="F254" t="s">
        <v>877</v>
      </c>
      <c r="G254" t="s">
        <v>1766</v>
      </c>
      <c r="H254" t="s">
        <v>1770</v>
      </c>
      <c r="I254" t="s">
        <v>1775</v>
      </c>
      <c r="J254" t="s">
        <v>1778</v>
      </c>
      <c r="K254">
        <v>12</v>
      </c>
      <c r="L254" s="2">
        <v>533</v>
      </c>
      <c r="M254">
        <v>0.15</v>
      </c>
      <c r="N254" s="2">
        <v>335.88</v>
      </c>
      <c r="O254" s="2">
        <v>5436.6</v>
      </c>
      <c r="P254" s="2">
        <v>4030.56</v>
      </c>
      <c r="Q254" s="2">
        <v>1406.04</v>
      </c>
      <c r="R254">
        <v>0</v>
      </c>
      <c r="S254" s="2" t="str">
        <f>TEXT(data[[#This Row],[Date]],"mmm yyyy")</f>
        <v>Sep 2025</v>
      </c>
      <c r="T254" s="8">
        <f>data[[#This Row],[Profit]]/data[[#This Row],[Revenue]]</f>
        <v>0.25862487584151855</v>
      </c>
    </row>
    <row r="255" spans="1:20" x14ac:dyDescent="0.3">
      <c r="A255">
        <v>10253</v>
      </c>
      <c r="B255" t="s">
        <v>231</v>
      </c>
      <c r="C255" t="s">
        <v>609</v>
      </c>
      <c r="D255" t="s">
        <v>613</v>
      </c>
      <c r="E255" t="s">
        <v>629</v>
      </c>
      <c r="F255" t="s">
        <v>878</v>
      </c>
      <c r="G255" t="s">
        <v>1762</v>
      </c>
      <c r="H255" t="s">
        <v>1768</v>
      </c>
      <c r="I255" t="s">
        <v>1773</v>
      </c>
      <c r="J255" t="s">
        <v>1778</v>
      </c>
      <c r="K255">
        <v>9</v>
      </c>
      <c r="L255" s="2">
        <v>1384</v>
      </c>
      <c r="M255">
        <v>0</v>
      </c>
      <c r="N255" s="2">
        <v>896.34</v>
      </c>
      <c r="O255" s="2">
        <v>12456</v>
      </c>
      <c r="P255" s="2">
        <v>8067.06</v>
      </c>
      <c r="Q255" s="2">
        <v>4388.9399999999996</v>
      </c>
      <c r="R255">
        <v>0</v>
      </c>
      <c r="S255" s="2" t="str">
        <f>TEXT(data[[#This Row],[Date]],"mmm yyyy")</f>
        <v>Jul 2025</v>
      </c>
      <c r="T255" s="8">
        <f>data[[#This Row],[Profit]]/data[[#This Row],[Revenue]]</f>
        <v>0.35235549132947974</v>
      </c>
    </row>
    <row r="256" spans="1:20" x14ac:dyDescent="0.3">
      <c r="A256">
        <v>10254</v>
      </c>
      <c r="B256" t="s">
        <v>232</v>
      </c>
      <c r="C256" t="s">
        <v>607</v>
      </c>
      <c r="D256" t="s">
        <v>624</v>
      </c>
      <c r="E256" t="s">
        <v>629</v>
      </c>
      <c r="F256" t="s">
        <v>879</v>
      </c>
      <c r="G256" t="s">
        <v>1764</v>
      </c>
      <c r="H256" t="s">
        <v>1769</v>
      </c>
      <c r="I256" t="s">
        <v>1775</v>
      </c>
      <c r="J256" t="s">
        <v>1778</v>
      </c>
      <c r="K256">
        <v>16</v>
      </c>
      <c r="L256" s="2">
        <v>475</v>
      </c>
      <c r="M256">
        <v>0</v>
      </c>
      <c r="N256" s="2">
        <v>261.45</v>
      </c>
      <c r="O256" s="2">
        <v>7600</v>
      </c>
      <c r="P256" s="2">
        <v>4183.2</v>
      </c>
      <c r="Q256" s="2">
        <v>3416.8</v>
      </c>
      <c r="R256">
        <v>1</v>
      </c>
      <c r="S256" s="2" t="str">
        <f>TEXT(data[[#This Row],[Date]],"mmm yyyy")</f>
        <v>Oct 2024</v>
      </c>
      <c r="T256" s="8">
        <f>data[[#This Row],[Profit]]/data[[#This Row],[Revenue]]</f>
        <v>0.44957894736842108</v>
      </c>
    </row>
    <row r="257" spans="1:20" x14ac:dyDescent="0.3">
      <c r="A257">
        <v>10255</v>
      </c>
      <c r="B257" t="s">
        <v>83</v>
      </c>
      <c r="C257" t="s">
        <v>609</v>
      </c>
      <c r="D257" t="s">
        <v>623</v>
      </c>
      <c r="E257" t="s">
        <v>627</v>
      </c>
      <c r="F257" t="s">
        <v>880</v>
      </c>
      <c r="G257" t="s">
        <v>1766</v>
      </c>
      <c r="H257" t="s">
        <v>1767</v>
      </c>
      <c r="I257" t="s">
        <v>1773</v>
      </c>
      <c r="J257" t="s">
        <v>1777</v>
      </c>
      <c r="K257">
        <v>20</v>
      </c>
      <c r="L257" s="2">
        <v>190</v>
      </c>
      <c r="M257">
        <v>0.1</v>
      </c>
      <c r="N257" s="2">
        <v>111.74</v>
      </c>
      <c r="O257" s="2">
        <v>3420</v>
      </c>
      <c r="P257" s="2">
        <v>2234.8000000000002</v>
      </c>
      <c r="Q257" s="2">
        <v>1185.2</v>
      </c>
      <c r="R257">
        <v>1</v>
      </c>
      <c r="S257" s="2" t="str">
        <f>TEXT(data[[#This Row],[Date]],"mmm yyyy")</f>
        <v>Aug 2025</v>
      </c>
      <c r="T257" s="8">
        <f>data[[#This Row],[Profit]]/data[[#This Row],[Revenue]]</f>
        <v>0.34654970760233922</v>
      </c>
    </row>
    <row r="258" spans="1:20" x14ac:dyDescent="0.3">
      <c r="A258">
        <v>10256</v>
      </c>
      <c r="B258" t="s">
        <v>218</v>
      </c>
      <c r="C258" t="s">
        <v>606</v>
      </c>
      <c r="D258" t="s">
        <v>620</v>
      </c>
      <c r="E258" t="s">
        <v>626</v>
      </c>
      <c r="F258" t="s">
        <v>881</v>
      </c>
      <c r="G258" t="s">
        <v>1764</v>
      </c>
      <c r="H258" t="s">
        <v>1768</v>
      </c>
      <c r="I258" t="s">
        <v>1775</v>
      </c>
      <c r="J258" t="s">
        <v>1779</v>
      </c>
      <c r="K258">
        <v>13</v>
      </c>
      <c r="L258" s="2">
        <v>1256</v>
      </c>
      <c r="M258">
        <v>0.15</v>
      </c>
      <c r="N258" s="2">
        <v>793.11</v>
      </c>
      <c r="O258" s="2">
        <v>13878.8</v>
      </c>
      <c r="P258" s="2">
        <v>10310.43</v>
      </c>
      <c r="Q258" s="2">
        <v>3568.37</v>
      </c>
      <c r="R258">
        <v>1</v>
      </c>
      <c r="S258" s="2" t="str">
        <f>TEXT(data[[#This Row],[Date]],"mmm yyyy")</f>
        <v>Oct 2025</v>
      </c>
      <c r="T258" s="8">
        <f>data[[#This Row],[Profit]]/data[[#This Row],[Revenue]]</f>
        <v>0.25710940427126266</v>
      </c>
    </row>
    <row r="259" spans="1:20" x14ac:dyDescent="0.3">
      <c r="A259">
        <v>10257</v>
      </c>
      <c r="B259" t="s">
        <v>188</v>
      </c>
      <c r="C259" t="s">
        <v>607</v>
      </c>
      <c r="D259" t="s">
        <v>611</v>
      </c>
      <c r="E259" t="s">
        <v>627</v>
      </c>
      <c r="F259" t="s">
        <v>882</v>
      </c>
      <c r="G259" t="s">
        <v>1763</v>
      </c>
      <c r="H259" t="s">
        <v>1771</v>
      </c>
      <c r="I259" t="s">
        <v>1774</v>
      </c>
      <c r="J259" t="s">
        <v>1776</v>
      </c>
      <c r="K259">
        <v>15</v>
      </c>
      <c r="L259" s="2">
        <v>333</v>
      </c>
      <c r="M259">
        <v>0.15</v>
      </c>
      <c r="N259" s="2">
        <v>207.4</v>
      </c>
      <c r="O259" s="2">
        <v>4245.75</v>
      </c>
      <c r="P259" s="2">
        <v>3111</v>
      </c>
      <c r="Q259" s="2">
        <v>1134.75</v>
      </c>
      <c r="R259">
        <v>0</v>
      </c>
      <c r="S259" s="2" t="str">
        <f>TEXT(data[[#This Row],[Date]],"mmm yyyy")</f>
        <v>Nov 2025</v>
      </c>
      <c r="T259" s="8">
        <f>data[[#This Row],[Profit]]/data[[#This Row],[Revenue]]</f>
        <v>0.26726726726726729</v>
      </c>
    </row>
    <row r="260" spans="1:20" x14ac:dyDescent="0.3">
      <c r="A260">
        <v>10258</v>
      </c>
      <c r="B260" t="s">
        <v>233</v>
      </c>
      <c r="C260" t="s">
        <v>606</v>
      </c>
      <c r="D260" t="s">
        <v>625</v>
      </c>
      <c r="E260" t="s">
        <v>626</v>
      </c>
      <c r="F260" t="s">
        <v>883</v>
      </c>
      <c r="G260" t="s">
        <v>1764</v>
      </c>
      <c r="H260" t="s">
        <v>1767</v>
      </c>
      <c r="I260" t="s">
        <v>1773</v>
      </c>
      <c r="J260" t="s">
        <v>1777</v>
      </c>
      <c r="K260">
        <v>15</v>
      </c>
      <c r="L260" s="2">
        <v>277</v>
      </c>
      <c r="M260">
        <v>0</v>
      </c>
      <c r="N260" s="2">
        <v>144.74</v>
      </c>
      <c r="O260" s="2">
        <v>4155</v>
      </c>
      <c r="P260" s="2">
        <v>2171.1</v>
      </c>
      <c r="Q260" s="2">
        <v>1983.9</v>
      </c>
      <c r="R260">
        <v>0</v>
      </c>
      <c r="S260" s="2" t="str">
        <f>TEXT(data[[#This Row],[Date]],"mmm yyyy")</f>
        <v>Aug 2025</v>
      </c>
      <c r="T260" s="8">
        <f>data[[#This Row],[Profit]]/data[[#This Row],[Revenue]]</f>
        <v>0.47747292418772563</v>
      </c>
    </row>
    <row r="261" spans="1:20" x14ac:dyDescent="0.3">
      <c r="A261">
        <v>10259</v>
      </c>
      <c r="B261" t="s">
        <v>234</v>
      </c>
      <c r="C261" t="s">
        <v>607</v>
      </c>
      <c r="D261" t="s">
        <v>624</v>
      </c>
      <c r="E261" t="s">
        <v>627</v>
      </c>
      <c r="F261" t="s">
        <v>884</v>
      </c>
      <c r="G261" t="s">
        <v>1760</v>
      </c>
      <c r="H261" t="s">
        <v>1770</v>
      </c>
      <c r="I261" t="s">
        <v>1774</v>
      </c>
      <c r="J261" t="s">
        <v>1777</v>
      </c>
      <c r="K261">
        <v>11</v>
      </c>
      <c r="L261" s="2">
        <v>604</v>
      </c>
      <c r="M261">
        <v>0.15</v>
      </c>
      <c r="N261" s="2">
        <v>432.31</v>
      </c>
      <c r="O261" s="2">
        <v>5647.4</v>
      </c>
      <c r="P261" s="2">
        <v>4755.41</v>
      </c>
      <c r="Q261" s="2">
        <v>891.99</v>
      </c>
      <c r="R261">
        <v>1</v>
      </c>
      <c r="S261" s="2" t="str">
        <f>TEXT(data[[#This Row],[Date]],"mmm yyyy")</f>
        <v>Aug 2025</v>
      </c>
      <c r="T261" s="8">
        <f>data[[#This Row],[Profit]]/data[[#This Row],[Revenue]]</f>
        <v>0.15794701986754969</v>
      </c>
    </row>
    <row r="262" spans="1:20" x14ac:dyDescent="0.3">
      <c r="A262">
        <v>10260</v>
      </c>
      <c r="B262" t="s">
        <v>235</v>
      </c>
      <c r="C262" t="s">
        <v>606</v>
      </c>
      <c r="D262" t="s">
        <v>625</v>
      </c>
      <c r="E262" t="s">
        <v>629</v>
      </c>
      <c r="F262" t="s">
        <v>885</v>
      </c>
      <c r="G262" t="s">
        <v>1766</v>
      </c>
      <c r="H262" t="s">
        <v>1771</v>
      </c>
      <c r="I262" t="s">
        <v>1775</v>
      </c>
      <c r="J262" t="s">
        <v>1778</v>
      </c>
      <c r="K262">
        <v>1</v>
      </c>
      <c r="L262" s="2">
        <v>565</v>
      </c>
      <c r="M262">
        <v>0.05</v>
      </c>
      <c r="N262" s="2">
        <v>422.15</v>
      </c>
      <c r="O262" s="2">
        <v>536.75</v>
      </c>
      <c r="P262" s="2">
        <v>422.15</v>
      </c>
      <c r="Q262" s="2">
        <v>114.6</v>
      </c>
      <c r="R262">
        <v>0</v>
      </c>
      <c r="S262" s="2" t="str">
        <f>TEXT(data[[#This Row],[Date]],"mmm yyyy")</f>
        <v>Jun 2025</v>
      </c>
      <c r="T262" s="8">
        <f>data[[#This Row],[Profit]]/data[[#This Row],[Revenue]]</f>
        <v>0.2135072193758733</v>
      </c>
    </row>
    <row r="263" spans="1:20" x14ac:dyDescent="0.3">
      <c r="A263">
        <v>10261</v>
      </c>
      <c r="B263" t="s">
        <v>236</v>
      </c>
      <c r="C263" t="s">
        <v>606</v>
      </c>
      <c r="D263" t="s">
        <v>616</v>
      </c>
      <c r="E263" t="s">
        <v>629</v>
      </c>
      <c r="F263" t="s">
        <v>886</v>
      </c>
      <c r="G263" t="s">
        <v>1759</v>
      </c>
      <c r="H263" t="s">
        <v>1769</v>
      </c>
      <c r="I263" t="s">
        <v>1773</v>
      </c>
      <c r="J263" t="s">
        <v>1776</v>
      </c>
      <c r="K263">
        <v>2</v>
      </c>
      <c r="L263" s="2">
        <v>365</v>
      </c>
      <c r="M263">
        <v>0.1</v>
      </c>
      <c r="N263" s="2">
        <v>210.28</v>
      </c>
      <c r="O263" s="2">
        <v>657</v>
      </c>
      <c r="P263" s="2">
        <v>420.56</v>
      </c>
      <c r="Q263" s="2">
        <v>236.44</v>
      </c>
      <c r="R263">
        <v>1</v>
      </c>
      <c r="S263" s="2" t="str">
        <f>TEXT(data[[#This Row],[Date]],"mmm yyyy")</f>
        <v>Mar 2025</v>
      </c>
      <c r="T263" s="8">
        <f>data[[#This Row],[Profit]]/data[[#This Row],[Revenue]]</f>
        <v>0.35987823439878236</v>
      </c>
    </row>
    <row r="264" spans="1:20" x14ac:dyDescent="0.3">
      <c r="A264">
        <v>10262</v>
      </c>
      <c r="B264" t="s">
        <v>143</v>
      </c>
      <c r="C264" t="s">
        <v>608</v>
      </c>
      <c r="D264" t="s">
        <v>612</v>
      </c>
      <c r="E264" t="s">
        <v>628</v>
      </c>
      <c r="F264" t="s">
        <v>887</v>
      </c>
      <c r="G264" t="s">
        <v>1766</v>
      </c>
      <c r="H264" t="s">
        <v>1767</v>
      </c>
      <c r="I264" t="s">
        <v>1773</v>
      </c>
      <c r="J264" t="s">
        <v>1776</v>
      </c>
      <c r="K264">
        <v>16</v>
      </c>
      <c r="L264" s="2">
        <v>248</v>
      </c>
      <c r="M264">
        <v>0.2</v>
      </c>
      <c r="N264" s="2">
        <v>132.76</v>
      </c>
      <c r="O264" s="2">
        <v>3174.4</v>
      </c>
      <c r="P264" s="2">
        <v>2124.16</v>
      </c>
      <c r="Q264" s="2">
        <v>1050.24</v>
      </c>
      <c r="R264">
        <v>0</v>
      </c>
      <c r="S264" s="2" t="str">
        <f>TEXT(data[[#This Row],[Date]],"mmm yyyy")</f>
        <v>Jul 2024</v>
      </c>
      <c r="T264" s="8">
        <f>data[[#This Row],[Profit]]/data[[#This Row],[Revenue]]</f>
        <v>0.33084677419354835</v>
      </c>
    </row>
    <row r="265" spans="1:20" x14ac:dyDescent="0.3">
      <c r="A265">
        <v>10263</v>
      </c>
      <c r="B265" t="s">
        <v>237</v>
      </c>
      <c r="C265" t="s">
        <v>607</v>
      </c>
      <c r="D265" t="s">
        <v>617</v>
      </c>
      <c r="E265" t="s">
        <v>628</v>
      </c>
      <c r="F265" t="s">
        <v>888</v>
      </c>
      <c r="G265" t="s">
        <v>1764</v>
      </c>
      <c r="H265" t="s">
        <v>1768</v>
      </c>
      <c r="I265" t="s">
        <v>1773</v>
      </c>
      <c r="J265" t="s">
        <v>1777</v>
      </c>
      <c r="K265">
        <v>8</v>
      </c>
      <c r="L265" s="2">
        <v>1080</v>
      </c>
      <c r="M265">
        <v>0.15</v>
      </c>
      <c r="N265" s="2">
        <v>618.71</v>
      </c>
      <c r="O265" s="2">
        <v>7344</v>
      </c>
      <c r="P265" s="2">
        <v>4949.68</v>
      </c>
      <c r="Q265" s="2">
        <v>2394.3200000000002</v>
      </c>
      <c r="R265">
        <v>0</v>
      </c>
      <c r="S265" s="2" t="str">
        <f>TEXT(data[[#This Row],[Date]],"mmm yyyy")</f>
        <v>Aug 2025</v>
      </c>
      <c r="T265" s="8">
        <f>data[[#This Row],[Profit]]/data[[#This Row],[Revenue]]</f>
        <v>0.32602396514161225</v>
      </c>
    </row>
    <row r="266" spans="1:20" x14ac:dyDescent="0.3">
      <c r="A266">
        <v>10264</v>
      </c>
      <c r="B266" t="s">
        <v>238</v>
      </c>
      <c r="C266" t="s">
        <v>609</v>
      </c>
      <c r="D266" t="s">
        <v>613</v>
      </c>
      <c r="E266" t="s">
        <v>628</v>
      </c>
      <c r="F266" t="s">
        <v>889</v>
      </c>
      <c r="G266" t="s">
        <v>1760</v>
      </c>
      <c r="H266" t="s">
        <v>1767</v>
      </c>
      <c r="I266" t="s">
        <v>1774</v>
      </c>
      <c r="J266" t="s">
        <v>1777</v>
      </c>
      <c r="K266">
        <v>4</v>
      </c>
      <c r="L266" s="2">
        <v>299</v>
      </c>
      <c r="M266">
        <v>0</v>
      </c>
      <c r="N266" s="2">
        <v>159.74</v>
      </c>
      <c r="O266" s="2">
        <v>1196</v>
      </c>
      <c r="P266" s="2">
        <v>638.96</v>
      </c>
      <c r="Q266" s="2">
        <v>557.04</v>
      </c>
      <c r="R266">
        <v>0</v>
      </c>
      <c r="S266" s="2" t="str">
        <f>TEXT(data[[#This Row],[Date]],"mmm yyyy")</f>
        <v>Sep 2025</v>
      </c>
      <c r="T266" s="8">
        <f>data[[#This Row],[Profit]]/data[[#This Row],[Revenue]]</f>
        <v>0.46575250836120397</v>
      </c>
    </row>
    <row r="267" spans="1:20" x14ac:dyDescent="0.3">
      <c r="A267">
        <v>10265</v>
      </c>
      <c r="B267" t="s">
        <v>239</v>
      </c>
      <c r="C267" t="s">
        <v>607</v>
      </c>
      <c r="D267" t="s">
        <v>621</v>
      </c>
      <c r="E267" t="s">
        <v>626</v>
      </c>
      <c r="F267" t="s">
        <v>890</v>
      </c>
      <c r="G267" t="s">
        <v>1761</v>
      </c>
      <c r="H267" t="s">
        <v>1770</v>
      </c>
      <c r="I267" t="s">
        <v>1773</v>
      </c>
      <c r="J267" t="s">
        <v>1776</v>
      </c>
      <c r="K267">
        <v>7</v>
      </c>
      <c r="L267" s="2">
        <v>701</v>
      </c>
      <c r="M267">
        <v>0.2</v>
      </c>
      <c r="N267" s="2">
        <v>497.41</v>
      </c>
      <c r="O267" s="2">
        <v>3925.6</v>
      </c>
      <c r="P267" s="2">
        <v>3481.87</v>
      </c>
      <c r="Q267" s="2">
        <v>443.73</v>
      </c>
      <c r="R267">
        <v>0</v>
      </c>
      <c r="S267" s="2" t="str">
        <f>TEXT(data[[#This Row],[Date]],"mmm yyyy")</f>
        <v>Jul 2024</v>
      </c>
      <c r="T267" s="8">
        <f>data[[#This Row],[Profit]]/data[[#This Row],[Revenue]]</f>
        <v>0.11303495007132669</v>
      </c>
    </row>
    <row r="268" spans="1:20" x14ac:dyDescent="0.3">
      <c r="A268">
        <v>10266</v>
      </c>
      <c r="B268" t="s">
        <v>240</v>
      </c>
      <c r="C268" t="s">
        <v>609</v>
      </c>
      <c r="D268" t="s">
        <v>619</v>
      </c>
      <c r="E268" t="s">
        <v>627</v>
      </c>
      <c r="F268" t="s">
        <v>891</v>
      </c>
      <c r="G268" t="s">
        <v>1765</v>
      </c>
      <c r="H268" t="s">
        <v>1771</v>
      </c>
      <c r="I268" t="s">
        <v>1775</v>
      </c>
      <c r="J268" t="s">
        <v>1778</v>
      </c>
      <c r="K268">
        <v>9</v>
      </c>
      <c r="L268" s="2">
        <v>637</v>
      </c>
      <c r="M268">
        <v>0.15</v>
      </c>
      <c r="N268" s="2">
        <v>427.73</v>
      </c>
      <c r="O268" s="2">
        <v>4873.05</v>
      </c>
      <c r="P268" s="2">
        <v>3849.57</v>
      </c>
      <c r="Q268" s="2">
        <v>1023.48</v>
      </c>
      <c r="R268">
        <v>0</v>
      </c>
      <c r="S268" s="2" t="str">
        <f>TEXT(data[[#This Row],[Date]],"mmm yyyy")</f>
        <v>Feb 2024</v>
      </c>
      <c r="T268" s="8">
        <f>data[[#This Row],[Profit]]/data[[#This Row],[Revenue]]</f>
        <v>0.21002862683534951</v>
      </c>
    </row>
    <row r="269" spans="1:20" x14ac:dyDescent="0.3">
      <c r="A269">
        <v>10267</v>
      </c>
      <c r="B269" t="s">
        <v>87</v>
      </c>
      <c r="C269" t="s">
        <v>608</v>
      </c>
      <c r="D269" t="s">
        <v>612</v>
      </c>
      <c r="E269" t="s">
        <v>627</v>
      </c>
      <c r="F269" t="s">
        <v>892</v>
      </c>
      <c r="G269" t="s">
        <v>1759</v>
      </c>
      <c r="H269" t="s">
        <v>1770</v>
      </c>
      <c r="I269" t="s">
        <v>1775</v>
      </c>
      <c r="J269" t="s">
        <v>1776</v>
      </c>
      <c r="K269">
        <v>5</v>
      </c>
      <c r="L269" s="2">
        <v>974</v>
      </c>
      <c r="M269">
        <v>0.1</v>
      </c>
      <c r="N269" s="2">
        <v>709.05</v>
      </c>
      <c r="O269" s="2">
        <v>4383</v>
      </c>
      <c r="P269" s="2">
        <v>3545.25</v>
      </c>
      <c r="Q269" s="2">
        <v>837.75</v>
      </c>
      <c r="R269">
        <v>0</v>
      </c>
      <c r="S269" s="2" t="str">
        <f>TEXT(data[[#This Row],[Date]],"mmm yyyy")</f>
        <v>Jul 2025</v>
      </c>
      <c r="T269" s="8">
        <f>data[[#This Row],[Profit]]/data[[#This Row],[Revenue]]</f>
        <v>0.19113620807665982</v>
      </c>
    </row>
    <row r="270" spans="1:20" x14ac:dyDescent="0.3">
      <c r="A270">
        <v>10268</v>
      </c>
      <c r="B270" t="s">
        <v>241</v>
      </c>
      <c r="C270" t="s">
        <v>606</v>
      </c>
      <c r="D270" t="s">
        <v>616</v>
      </c>
      <c r="E270" t="s">
        <v>628</v>
      </c>
      <c r="F270" t="s">
        <v>893</v>
      </c>
      <c r="G270" t="s">
        <v>1765</v>
      </c>
      <c r="H270" t="s">
        <v>1771</v>
      </c>
      <c r="I270" t="s">
        <v>1775</v>
      </c>
      <c r="J270" t="s">
        <v>1778</v>
      </c>
      <c r="K270">
        <v>10</v>
      </c>
      <c r="L270" s="2">
        <v>628</v>
      </c>
      <c r="M270">
        <v>0.05</v>
      </c>
      <c r="N270" s="2">
        <v>416.81</v>
      </c>
      <c r="O270" s="2">
        <v>5966</v>
      </c>
      <c r="P270" s="2">
        <v>4168.1000000000004</v>
      </c>
      <c r="Q270" s="2">
        <v>1797.9</v>
      </c>
      <c r="R270">
        <v>0</v>
      </c>
      <c r="S270" s="2" t="str">
        <f>TEXT(data[[#This Row],[Date]],"mmm yyyy")</f>
        <v>Jul 2024</v>
      </c>
      <c r="T270" s="8">
        <f>data[[#This Row],[Profit]]/data[[#This Row],[Revenue]]</f>
        <v>0.30135769359704995</v>
      </c>
    </row>
    <row r="271" spans="1:20" x14ac:dyDescent="0.3">
      <c r="A271">
        <v>10269</v>
      </c>
      <c r="B271" t="s">
        <v>232</v>
      </c>
      <c r="C271" t="s">
        <v>607</v>
      </c>
      <c r="D271" t="s">
        <v>624</v>
      </c>
      <c r="E271" t="s">
        <v>628</v>
      </c>
      <c r="F271" t="s">
        <v>894</v>
      </c>
      <c r="G271" t="s">
        <v>1760</v>
      </c>
      <c r="H271" t="s">
        <v>1768</v>
      </c>
      <c r="I271" t="s">
        <v>1775</v>
      </c>
      <c r="J271" t="s">
        <v>1776</v>
      </c>
      <c r="K271">
        <v>4</v>
      </c>
      <c r="L271" s="2">
        <v>1160</v>
      </c>
      <c r="M271">
        <v>0.05</v>
      </c>
      <c r="N271" s="2">
        <v>868.88</v>
      </c>
      <c r="O271" s="2">
        <v>4408</v>
      </c>
      <c r="P271" s="2">
        <v>3475.52</v>
      </c>
      <c r="Q271" s="2">
        <v>932.48</v>
      </c>
      <c r="R271">
        <v>0</v>
      </c>
      <c r="S271" s="2" t="str">
        <f>TEXT(data[[#This Row],[Date]],"mmm yyyy")</f>
        <v>Oct 2024</v>
      </c>
      <c r="T271" s="8">
        <f>data[[#This Row],[Profit]]/data[[#This Row],[Revenue]]</f>
        <v>0.21154264972776771</v>
      </c>
    </row>
    <row r="272" spans="1:20" x14ac:dyDescent="0.3">
      <c r="A272">
        <v>10270</v>
      </c>
      <c r="B272" t="s">
        <v>242</v>
      </c>
      <c r="C272" t="s">
        <v>608</v>
      </c>
      <c r="D272" t="s">
        <v>615</v>
      </c>
      <c r="E272" t="s">
        <v>627</v>
      </c>
      <c r="F272" t="s">
        <v>895</v>
      </c>
      <c r="G272" t="s">
        <v>1762</v>
      </c>
      <c r="H272" t="s">
        <v>1772</v>
      </c>
      <c r="I272" t="s">
        <v>1773</v>
      </c>
      <c r="J272" t="s">
        <v>1778</v>
      </c>
      <c r="K272">
        <v>20</v>
      </c>
      <c r="L272" s="2">
        <v>810</v>
      </c>
      <c r="M272">
        <v>0.2</v>
      </c>
      <c r="N272" s="2">
        <v>514.5</v>
      </c>
      <c r="O272" s="2">
        <v>12960</v>
      </c>
      <c r="P272" s="2">
        <v>10290</v>
      </c>
      <c r="Q272" s="2">
        <v>2670</v>
      </c>
      <c r="R272">
        <v>0</v>
      </c>
      <c r="S272" s="2" t="str">
        <f>TEXT(data[[#This Row],[Date]],"mmm yyyy")</f>
        <v>Jul 2024</v>
      </c>
      <c r="T272" s="8">
        <f>data[[#This Row],[Profit]]/data[[#This Row],[Revenue]]</f>
        <v>0.20601851851851852</v>
      </c>
    </row>
    <row r="273" spans="1:20" x14ac:dyDescent="0.3">
      <c r="A273">
        <v>10271</v>
      </c>
      <c r="B273" t="s">
        <v>38</v>
      </c>
      <c r="C273" t="s">
        <v>609</v>
      </c>
      <c r="D273" t="s">
        <v>622</v>
      </c>
      <c r="E273" t="s">
        <v>629</v>
      </c>
      <c r="F273" t="s">
        <v>896</v>
      </c>
      <c r="G273" t="s">
        <v>1764</v>
      </c>
      <c r="H273" t="s">
        <v>1768</v>
      </c>
      <c r="I273" t="s">
        <v>1775</v>
      </c>
      <c r="J273" t="s">
        <v>1777</v>
      </c>
      <c r="K273">
        <v>7</v>
      </c>
      <c r="L273" s="2">
        <v>1152</v>
      </c>
      <c r="M273">
        <v>0.05</v>
      </c>
      <c r="N273" s="2">
        <v>765.08</v>
      </c>
      <c r="O273" s="2">
        <v>7660.8</v>
      </c>
      <c r="P273" s="2">
        <v>5355.56</v>
      </c>
      <c r="Q273" s="2">
        <v>2305.2399999999998</v>
      </c>
      <c r="R273">
        <v>0</v>
      </c>
      <c r="S273" s="2" t="str">
        <f>TEXT(data[[#This Row],[Date]],"mmm yyyy")</f>
        <v>Jun 2024</v>
      </c>
      <c r="T273" s="8">
        <f>data[[#This Row],[Profit]]/data[[#This Row],[Revenue]]</f>
        <v>0.30091374269005844</v>
      </c>
    </row>
    <row r="274" spans="1:20" x14ac:dyDescent="0.3">
      <c r="A274">
        <v>10272</v>
      </c>
      <c r="B274" t="s">
        <v>243</v>
      </c>
      <c r="C274" t="s">
        <v>606</v>
      </c>
      <c r="D274" t="s">
        <v>625</v>
      </c>
      <c r="E274" t="s">
        <v>626</v>
      </c>
      <c r="F274" t="s">
        <v>897</v>
      </c>
      <c r="G274" t="s">
        <v>1763</v>
      </c>
      <c r="H274" t="s">
        <v>1771</v>
      </c>
      <c r="I274" t="s">
        <v>1775</v>
      </c>
      <c r="J274" t="s">
        <v>1776</v>
      </c>
      <c r="K274">
        <v>10</v>
      </c>
      <c r="L274" s="2">
        <v>356</v>
      </c>
      <c r="M274">
        <v>0</v>
      </c>
      <c r="N274" s="2">
        <v>242.41</v>
      </c>
      <c r="O274" s="2">
        <v>3560</v>
      </c>
      <c r="P274" s="2">
        <v>2424.1</v>
      </c>
      <c r="Q274" s="2">
        <v>1135.9000000000001</v>
      </c>
      <c r="R274">
        <v>1</v>
      </c>
      <c r="S274" s="2" t="str">
        <f>TEXT(data[[#This Row],[Date]],"mmm yyyy")</f>
        <v>Apr 2024</v>
      </c>
      <c r="T274" s="8">
        <f>data[[#This Row],[Profit]]/data[[#This Row],[Revenue]]</f>
        <v>0.31907303370786522</v>
      </c>
    </row>
    <row r="275" spans="1:20" x14ac:dyDescent="0.3">
      <c r="A275">
        <v>10273</v>
      </c>
      <c r="B275" t="s">
        <v>244</v>
      </c>
      <c r="C275" t="s">
        <v>609</v>
      </c>
      <c r="D275" t="s">
        <v>622</v>
      </c>
      <c r="E275" t="s">
        <v>629</v>
      </c>
      <c r="F275" t="s">
        <v>898</v>
      </c>
      <c r="G275" t="s">
        <v>1766</v>
      </c>
      <c r="H275" t="s">
        <v>1769</v>
      </c>
      <c r="I275" t="s">
        <v>1774</v>
      </c>
      <c r="J275" t="s">
        <v>1777</v>
      </c>
      <c r="K275">
        <v>4</v>
      </c>
      <c r="L275" s="2">
        <v>446</v>
      </c>
      <c r="M275">
        <v>0.15</v>
      </c>
      <c r="N275" s="2">
        <v>295.12</v>
      </c>
      <c r="O275" s="2">
        <v>1516.4</v>
      </c>
      <c r="P275" s="2">
        <v>1180.48</v>
      </c>
      <c r="Q275" s="2">
        <v>335.92</v>
      </c>
      <c r="R275">
        <v>0</v>
      </c>
      <c r="S275" s="2" t="str">
        <f>TEXT(data[[#This Row],[Date]],"mmm yyyy")</f>
        <v>Mar 2025</v>
      </c>
      <c r="T275" s="8">
        <f>data[[#This Row],[Profit]]/data[[#This Row],[Revenue]]</f>
        <v>0.22152466367713003</v>
      </c>
    </row>
    <row r="276" spans="1:20" x14ac:dyDescent="0.3">
      <c r="A276">
        <v>10274</v>
      </c>
      <c r="B276" t="s">
        <v>179</v>
      </c>
      <c r="C276" t="s">
        <v>606</v>
      </c>
      <c r="D276" t="s">
        <v>610</v>
      </c>
      <c r="E276" t="s">
        <v>627</v>
      </c>
      <c r="F276" t="s">
        <v>899</v>
      </c>
      <c r="G276" t="s">
        <v>1761</v>
      </c>
      <c r="H276" t="s">
        <v>1770</v>
      </c>
      <c r="I276" t="s">
        <v>1773</v>
      </c>
      <c r="J276" t="s">
        <v>1777</v>
      </c>
      <c r="K276">
        <v>11</v>
      </c>
      <c r="L276" s="2">
        <v>492</v>
      </c>
      <c r="M276">
        <v>0</v>
      </c>
      <c r="N276" s="2">
        <v>349.6</v>
      </c>
      <c r="O276" s="2">
        <v>5412</v>
      </c>
      <c r="P276" s="2">
        <v>3845.6</v>
      </c>
      <c r="Q276" s="2">
        <v>1566.4</v>
      </c>
      <c r="R276">
        <v>1</v>
      </c>
      <c r="S276" s="2" t="str">
        <f>TEXT(data[[#This Row],[Date]],"mmm yyyy")</f>
        <v>Nov 2024</v>
      </c>
      <c r="T276" s="8">
        <f>data[[#This Row],[Profit]]/data[[#This Row],[Revenue]]</f>
        <v>0.28943089430894309</v>
      </c>
    </row>
    <row r="277" spans="1:20" x14ac:dyDescent="0.3">
      <c r="A277">
        <v>10275</v>
      </c>
      <c r="B277" t="s">
        <v>245</v>
      </c>
      <c r="C277" t="s">
        <v>609</v>
      </c>
      <c r="D277" t="s">
        <v>613</v>
      </c>
      <c r="E277" t="s">
        <v>627</v>
      </c>
      <c r="F277" t="s">
        <v>900</v>
      </c>
      <c r="G277" t="s">
        <v>1760</v>
      </c>
      <c r="H277" t="s">
        <v>1767</v>
      </c>
      <c r="I277" t="s">
        <v>1774</v>
      </c>
      <c r="J277" t="s">
        <v>1778</v>
      </c>
      <c r="K277">
        <v>18</v>
      </c>
      <c r="L277" s="2">
        <v>149</v>
      </c>
      <c r="M277">
        <v>0.2</v>
      </c>
      <c r="N277" s="2">
        <v>78.88</v>
      </c>
      <c r="O277" s="2">
        <v>2145.6</v>
      </c>
      <c r="P277" s="2">
        <v>1419.84</v>
      </c>
      <c r="Q277" s="2">
        <v>725.76</v>
      </c>
      <c r="R277">
        <v>1</v>
      </c>
      <c r="S277" s="2" t="str">
        <f>TEXT(data[[#This Row],[Date]],"mmm yyyy")</f>
        <v>Sep 2024</v>
      </c>
      <c r="T277" s="8">
        <f>data[[#This Row],[Profit]]/data[[#This Row],[Revenue]]</f>
        <v>0.338255033557047</v>
      </c>
    </row>
    <row r="278" spans="1:20" x14ac:dyDescent="0.3">
      <c r="A278">
        <v>10276</v>
      </c>
      <c r="B278" t="s">
        <v>246</v>
      </c>
      <c r="C278" t="s">
        <v>606</v>
      </c>
      <c r="D278" t="s">
        <v>610</v>
      </c>
      <c r="E278" t="s">
        <v>627</v>
      </c>
      <c r="F278" t="s">
        <v>901</v>
      </c>
      <c r="G278" t="s">
        <v>1760</v>
      </c>
      <c r="H278" t="s">
        <v>1772</v>
      </c>
      <c r="I278" t="s">
        <v>1773</v>
      </c>
      <c r="J278" t="s">
        <v>1776</v>
      </c>
      <c r="K278">
        <v>18</v>
      </c>
      <c r="L278" s="2">
        <v>913</v>
      </c>
      <c r="M278">
        <v>0.05</v>
      </c>
      <c r="N278" s="2">
        <v>682.02</v>
      </c>
      <c r="O278" s="2">
        <v>15612.3</v>
      </c>
      <c r="P278" s="2">
        <v>12276.36</v>
      </c>
      <c r="Q278" s="2">
        <v>3335.94</v>
      </c>
      <c r="R278">
        <v>0</v>
      </c>
      <c r="S278" s="2" t="str">
        <f>TEXT(data[[#This Row],[Date]],"mmm yyyy")</f>
        <v>Jul 2025</v>
      </c>
      <c r="T278" s="8">
        <f>data[[#This Row],[Profit]]/data[[#This Row],[Revenue]]</f>
        <v>0.21367383409235027</v>
      </c>
    </row>
    <row r="279" spans="1:20" x14ac:dyDescent="0.3">
      <c r="A279">
        <v>10277</v>
      </c>
      <c r="B279" t="s">
        <v>247</v>
      </c>
      <c r="C279" t="s">
        <v>607</v>
      </c>
      <c r="D279" t="s">
        <v>621</v>
      </c>
      <c r="E279" t="s">
        <v>628</v>
      </c>
      <c r="F279" t="s">
        <v>902</v>
      </c>
      <c r="G279" t="s">
        <v>1761</v>
      </c>
      <c r="H279" t="s">
        <v>1770</v>
      </c>
      <c r="I279" t="s">
        <v>1775</v>
      </c>
      <c r="J279" t="s">
        <v>1776</v>
      </c>
      <c r="K279">
        <v>3</v>
      </c>
      <c r="L279" s="2">
        <v>634</v>
      </c>
      <c r="M279">
        <v>0.05</v>
      </c>
      <c r="N279" s="2">
        <v>341.35</v>
      </c>
      <c r="O279" s="2">
        <v>1806.9</v>
      </c>
      <c r="P279" s="2">
        <v>1024.05</v>
      </c>
      <c r="Q279" s="2">
        <v>782.85</v>
      </c>
      <c r="R279">
        <v>0</v>
      </c>
      <c r="S279" s="2" t="str">
        <f>TEXT(data[[#This Row],[Date]],"mmm yyyy")</f>
        <v>Feb 2024</v>
      </c>
      <c r="T279" s="8">
        <f>data[[#This Row],[Profit]]/data[[#This Row],[Revenue]]</f>
        <v>0.43325585256516685</v>
      </c>
    </row>
    <row r="280" spans="1:20" x14ac:dyDescent="0.3">
      <c r="A280">
        <v>10278</v>
      </c>
      <c r="B280" t="s">
        <v>245</v>
      </c>
      <c r="C280" t="s">
        <v>609</v>
      </c>
      <c r="D280" t="s">
        <v>613</v>
      </c>
      <c r="E280" t="s">
        <v>626</v>
      </c>
      <c r="F280" t="s">
        <v>903</v>
      </c>
      <c r="G280" t="s">
        <v>1761</v>
      </c>
      <c r="H280" t="s">
        <v>1771</v>
      </c>
      <c r="I280" t="s">
        <v>1773</v>
      </c>
      <c r="J280" t="s">
        <v>1777</v>
      </c>
      <c r="K280">
        <v>20</v>
      </c>
      <c r="L280" s="2">
        <v>424</v>
      </c>
      <c r="M280">
        <v>0.2</v>
      </c>
      <c r="N280" s="2">
        <v>287.33999999999997</v>
      </c>
      <c r="O280" s="2">
        <v>6784</v>
      </c>
      <c r="P280" s="2">
        <v>5746.8</v>
      </c>
      <c r="Q280" s="2">
        <v>1037.2</v>
      </c>
      <c r="R280">
        <v>0</v>
      </c>
      <c r="S280" s="2" t="str">
        <f>TEXT(data[[#This Row],[Date]],"mmm yyyy")</f>
        <v>Sep 2024</v>
      </c>
      <c r="T280" s="8">
        <f>data[[#This Row],[Profit]]/data[[#This Row],[Revenue]]</f>
        <v>0.15288915094339622</v>
      </c>
    </row>
    <row r="281" spans="1:20" x14ac:dyDescent="0.3">
      <c r="A281">
        <v>10279</v>
      </c>
      <c r="B281" t="s">
        <v>248</v>
      </c>
      <c r="C281" t="s">
        <v>608</v>
      </c>
      <c r="D281" t="s">
        <v>612</v>
      </c>
      <c r="E281" t="s">
        <v>628</v>
      </c>
      <c r="F281" t="s">
        <v>904</v>
      </c>
      <c r="G281" t="s">
        <v>1760</v>
      </c>
      <c r="H281" t="s">
        <v>1772</v>
      </c>
      <c r="I281" t="s">
        <v>1773</v>
      </c>
      <c r="J281" t="s">
        <v>1777</v>
      </c>
      <c r="K281">
        <v>15</v>
      </c>
      <c r="L281" s="2">
        <v>586</v>
      </c>
      <c r="M281">
        <v>0.2</v>
      </c>
      <c r="N281" s="2">
        <v>427.9</v>
      </c>
      <c r="O281" s="2">
        <v>7032</v>
      </c>
      <c r="P281" s="2">
        <v>6418.5</v>
      </c>
      <c r="Q281" s="2">
        <v>613.5</v>
      </c>
      <c r="R281">
        <v>0</v>
      </c>
      <c r="S281" s="2" t="str">
        <f>TEXT(data[[#This Row],[Date]],"mmm yyyy")</f>
        <v>Nov 2024</v>
      </c>
      <c r="T281" s="8">
        <f>data[[#This Row],[Profit]]/data[[#This Row],[Revenue]]</f>
        <v>8.724402730375426E-2</v>
      </c>
    </row>
    <row r="282" spans="1:20" x14ac:dyDescent="0.3">
      <c r="A282">
        <v>10280</v>
      </c>
      <c r="B282" t="s">
        <v>249</v>
      </c>
      <c r="C282" t="s">
        <v>608</v>
      </c>
      <c r="D282" t="s">
        <v>618</v>
      </c>
      <c r="E282" t="s">
        <v>629</v>
      </c>
      <c r="F282" t="s">
        <v>905</v>
      </c>
      <c r="G282" t="s">
        <v>1760</v>
      </c>
      <c r="H282" t="s">
        <v>1771</v>
      </c>
      <c r="I282" t="s">
        <v>1775</v>
      </c>
      <c r="J282" t="s">
        <v>1776</v>
      </c>
      <c r="K282">
        <v>5</v>
      </c>
      <c r="L282" s="2">
        <v>476</v>
      </c>
      <c r="M282">
        <v>0.05</v>
      </c>
      <c r="N282" s="2">
        <v>261.58999999999997</v>
      </c>
      <c r="O282" s="2">
        <v>2261</v>
      </c>
      <c r="P282" s="2">
        <v>1307.95</v>
      </c>
      <c r="Q282" s="2">
        <v>953.05</v>
      </c>
      <c r="R282">
        <v>0</v>
      </c>
      <c r="S282" s="2" t="str">
        <f>TEXT(data[[#This Row],[Date]],"mmm yyyy")</f>
        <v>Dec 2025</v>
      </c>
      <c r="T282" s="8">
        <f>data[[#This Row],[Profit]]/data[[#This Row],[Revenue]]</f>
        <v>0.42151702786377709</v>
      </c>
    </row>
    <row r="283" spans="1:20" x14ac:dyDescent="0.3">
      <c r="A283">
        <v>10281</v>
      </c>
      <c r="B283" t="s">
        <v>250</v>
      </c>
      <c r="C283" t="s">
        <v>607</v>
      </c>
      <c r="D283" t="s">
        <v>617</v>
      </c>
      <c r="E283" t="s">
        <v>629</v>
      </c>
      <c r="F283" t="s">
        <v>906</v>
      </c>
      <c r="G283" t="s">
        <v>1764</v>
      </c>
      <c r="H283" t="s">
        <v>1768</v>
      </c>
      <c r="I283" t="s">
        <v>1774</v>
      </c>
      <c r="J283" t="s">
        <v>1779</v>
      </c>
      <c r="K283">
        <v>7</v>
      </c>
      <c r="L283" s="2">
        <v>864</v>
      </c>
      <c r="M283">
        <v>0</v>
      </c>
      <c r="N283" s="2">
        <v>614.67999999999995</v>
      </c>
      <c r="O283" s="2">
        <v>6048</v>
      </c>
      <c r="P283" s="2">
        <v>4302.76</v>
      </c>
      <c r="Q283" s="2">
        <v>1745.24</v>
      </c>
      <c r="R283">
        <v>1</v>
      </c>
      <c r="S283" s="2" t="str">
        <f>TEXT(data[[#This Row],[Date]],"mmm yyyy")</f>
        <v>Apr 2024</v>
      </c>
      <c r="T283" s="8">
        <f>data[[#This Row],[Profit]]/data[[#This Row],[Revenue]]</f>
        <v>0.28856481481481483</v>
      </c>
    </row>
    <row r="284" spans="1:20" x14ac:dyDescent="0.3">
      <c r="A284">
        <v>10282</v>
      </c>
      <c r="B284" t="s">
        <v>185</v>
      </c>
      <c r="C284" t="s">
        <v>608</v>
      </c>
      <c r="D284" t="s">
        <v>612</v>
      </c>
      <c r="E284" t="s">
        <v>628</v>
      </c>
      <c r="F284" t="s">
        <v>907</v>
      </c>
      <c r="G284" t="s">
        <v>1762</v>
      </c>
      <c r="H284" t="s">
        <v>1770</v>
      </c>
      <c r="I284" t="s">
        <v>1774</v>
      </c>
      <c r="J284" t="s">
        <v>1776</v>
      </c>
      <c r="K284">
        <v>2</v>
      </c>
      <c r="L284" s="2">
        <v>710</v>
      </c>
      <c r="M284">
        <v>0.15</v>
      </c>
      <c r="N284" s="2">
        <v>502.76</v>
      </c>
      <c r="O284" s="2">
        <v>1207</v>
      </c>
      <c r="P284" s="2">
        <v>1005.52</v>
      </c>
      <c r="Q284" s="2">
        <v>201.48</v>
      </c>
      <c r="R284">
        <v>0</v>
      </c>
      <c r="S284" s="2" t="str">
        <f>TEXT(data[[#This Row],[Date]],"mmm yyyy")</f>
        <v>Mar 2025</v>
      </c>
      <c r="T284" s="8">
        <f>data[[#This Row],[Profit]]/data[[#This Row],[Revenue]]</f>
        <v>0.16692626346313172</v>
      </c>
    </row>
    <row r="285" spans="1:20" x14ac:dyDescent="0.3">
      <c r="A285">
        <v>10283</v>
      </c>
      <c r="B285" t="s">
        <v>251</v>
      </c>
      <c r="C285" t="s">
        <v>609</v>
      </c>
      <c r="D285" t="s">
        <v>623</v>
      </c>
      <c r="E285" t="s">
        <v>626</v>
      </c>
      <c r="F285" t="s">
        <v>908</v>
      </c>
      <c r="G285" t="s">
        <v>1763</v>
      </c>
      <c r="H285" t="s">
        <v>1771</v>
      </c>
      <c r="I285" t="s">
        <v>1774</v>
      </c>
      <c r="J285" t="s">
        <v>1778</v>
      </c>
      <c r="K285">
        <v>7</v>
      </c>
      <c r="L285" s="2">
        <v>422</v>
      </c>
      <c r="M285">
        <v>0.2</v>
      </c>
      <c r="N285" s="2">
        <v>259.31</v>
      </c>
      <c r="O285" s="2">
        <v>2363.1999999999998</v>
      </c>
      <c r="P285" s="2">
        <v>1815.17</v>
      </c>
      <c r="Q285" s="2">
        <v>548.03</v>
      </c>
      <c r="R285">
        <v>0</v>
      </c>
      <c r="S285" s="2" t="str">
        <f>TEXT(data[[#This Row],[Date]],"mmm yyyy")</f>
        <v>May 2025</v>
      </c>
      <c r="T285" s="8">
        <f>data[[#This Row],[Profit]]/data[[#This Row],[Revenue]]</f>
        <v>0.23190165876777252</v>
      </c>
    </row>
    <row r="286" spans="1:20" x14ac:dyDescent="0.3">
      <c r="A286">
        <v>10284</v>
      </c>
      <c r="B286" t="s">
        <v>252</v>
      </c>
      <c r="C286" t="s">
        <v>607</v>
      </c>
      <c r="D286" t="s">
        <v>611</v>
      </c>
      <c r="E286" t="s">
        <v>626</v>
      </c>
      <c r="F286" t="s">
        <v>909</v>
      </c>
      <c r="G286" t="s">
        <v>1764</v>
      </c>
      <c r="H286" t="s">
        <v>1768</v>
      </c>
      <c r="I286" t="s">
        <v>1774</v>
      </c>
      <c r="J286" t="s">
        <v>1776</v>
      </c>
      <c r="K286">
        <v>11</v>
      </c>
      <c r="L286" s="2">
        <v>1033</v>
      </c>
      <c r="M286">
        <v>0.2</v>
      </c>
      <c r="N286" s="2">
        <v>749.99</v>
      </c>
      <c r="O286" s="2">
        <v>9090.4</v>
      </c>
      <c r="P286" s="2">
        <v>8249.89</v>
      </c>
      <c r="Q286" s="2">
        <v>840.51</v>
      </c>
      <c r="R286">
        <v>1</v>
      </c>
      <c r="S286" s="2" t="str">
        <f>TEXT(data[[#This Row],[Date]],"mmm yyyy")</f>
        <v>Nov 2024</v>
      </c>
      <c r="T286" s="8">
        <f>data[[#This Row],[Profit]]/data[[#This Row],[Revenue]]</f>
        <v>9.2461277831558566E-2</v>
      </c>
    </row>
    <row r="287" spans="1:20" x14ac:dyDescent="0.3">
      <c r="A287">
        <v>10285</v>
      </c>
      <c r="B287" t="s">
        <v>253</v>
      </c>
      <c r="C287" t="s">
        <v>609</v>
      </c>
      <c r="D287" t="s">
        <v>619</v>
      </c>
      <c r="E287" t="s">
        <v>627</v>
      </c>
      <c r="F287" t="s">
        <v>910</v>
      </c>
      <c r="G287" t="s">
        <v>1766</v>
      </c>
      <c r="H287" t="s">
        <v>1767</v>
      </c>
      <c r="I287" t="s">
        <v>1775</v>
      </c>
      <c r="J287" t="s">
        <v>1779</v>
      </c>
      <c r="K287">
        <v>20</v>
      </c>
      <c r="L287" s="2">
        <v>185</v>
      </c>
      <c r="M287">
        <v>0.1</v>
      </c>
      <c r="N287" s="2">
        <v>113.66</v>
      </c>
      <c r="O287" s="2">
        <v>3330</v>
      </c>
      <c r="P287" s="2">
        <v>2273.1999999999998</v>
      </c>
      <c r="Q287" s="2">
        <v>1056.8</v>
      </c>
      <c r="R287">
        <v>0</v>
      </c>
      <c r="S287" s="2" t="str">
        <f>TEXT(data[[#This Row],[Date]],"mmm yyyy")</f>
        <v>Jul 2025</v>
      </c>
      <c r="T287" s="8">
        <f>data[[#This Row],[Profit]]/data[[#This Row],[Revenue]]</f>
        <v>0.31735735735735732</v>
      </c>
    </row>
    <row r="288" spans="1:20" x14ac:dyDescent="0.3">
      <c r="A288">
        <v>10286</v>
      </c>
      <c r="B288" t="s">
        <v>254</v>
      </c>
      <c r="C288" t="s">
        <v>609</v>
      </c>
      <c r="D288" t="s">
        <v>623</v>
      </c>
      <c r="E288" t="s">
        <v>627</v>
      </c>
      <c r="F288" t="s">
        <v>911</v>
      </c>
      <c r="G288" t="s">
        <v>1759</v>
      </c>
      <c r="H288" t="s">
        <v>1772</v>
      </c>
      <c r="I288" t="s">
        <v>1774</v>
      </c>
      <c r="J288" t="s">
        <v>1776</v>
      </c>
      <c r="K288">
        <v>9</v>
      </c>
      <c r="L288" s="2">
        <v>590</v>
      </c>
      <c r="M288">
        <v>0.05</v>
      </c>
      <c r="N288" s="2">
        <v>398.42</v>
      </c>
      <c r="O288" s="2">
        <v>5044.5</v>
      </c>
      <c r="P288" s="2">
        <v>3585.78</v>
      </c>
      <c r="Q288" s="2">
        <v>1458.72</v>
      </c>
      <c r="R288">
        <v>1</v>
      </c>
      <c r="S288" s="2" t="str">
        <f>TEXT(data[[#This Row],[Date]],"mmm yyyy")</f>
        <v>Feb 2025</v>
      </c>
      <c r="T288" s="8">
        <f>data[[#This Row],[Profit]]/data[[#This Row],[Revenue]]</f>
        <v>0.28917038358608388</v>
      </c>
    </row>
    <row r="289" spans="1:20" x14ac:dyDescent="0.3">
      <c r="A289">
        <v>10287</v>
      </c>
      <c r="B289" t="s">
        <v>255</v>
      </c>
      <c r="C289" t="s">
        <v>607</v>
      </c>
      <c r="D289" t="s">
        <v>621</v>
      </c>
      <c r="E289" t="s">
        <v>628</v>
      </c>
      <c r="F289" t="s">
        <v>912</v>
      </c>
      <c r="G289" t="s">
        <v>1764</v>
      </c>
      <c r="H289" t="s">
        <v>1767</v>
      </c>
      <c r="I289" t="s">
        <v>1775</v>
      </c>
      <c r="J289" t="s">
        <v>1777</v>
      </c>
      <c r="K289">
        <v>11</v>
      </c>
      <c r="L289" s="2">
        <v>149</v>
      </c>
      <c r="M289">
        <v>0.05</v>
      </c>
      <c r="N289" s="2">
        <v>88</v>
      </c>
      <c r="O289" s="2">
        <v>1557.05</v>
      </c>
      <c r="P289" s="2">
        <v>968</v>
      </c>
      <c r="Q289" s="2">
        <v>589.04999999999995</v>
      </c>
      <c r="R289">
        <v>0</v>
      </c>
      <c r="S289" s="2" t="str">
        <f>TEXT(data[[#This Row],[Date]],"mmm yyyy")</f>
        <v>Dec 2024</v>
      </c>
      <c r="T289" s="8">
        <f>data[[#This Row],[Profit]]/data[[#This Row],[Revenue]]</f>
        <v>0.37831155068880251</v>
      </c>
    </row>
    <row r="290" spans="1:20" x14ac:dyDescent="0.3">
      <c r="A290">
        <v>10288</v>
      </c>
      <c r="B290" t="s">
        <v>256</v>
      </c>
      <c r="C290" t="s">
        <v>608</v>
      </c>
      <c r="D290" t="s">
        <v>615</v>
      </c>
      <c r="E290" t="s">
        <v>629</v>
      </c>
      <c r="F290" t="s">
        <v>913</v>
      </c>
      <c r="G290" t="s">
        <v>1761</v>
      </c>
      <c r="H290" t="s">
        <v>1769</v>
      </c>
      <c r="I290" t="s">
        <v>1774</v>
      </c>
      <c r="J290" t="s">
        <v>1779</v>
      </c>
      <c r="K290">
        <v>1</v>
      </c>
      <c r="L290" s="2">
        <v>154</v>
      </c>
      <c r="M290">
        <v>0.05</v>
      </c>
      <c r="N290" s="2">
        <v>80.989999999999995</v>
      </c>
      <c r="O290" s="2">
        <v>146.30000000000001</v>
      </c>
      <c r="P290" s="2">
        <v>80.989999999999995</v>
      </c>
      <c r="Q290" s="2">
        <v>65.31</v>
      </c>
      <c r="R290">
        <v>0</v>
      </c>
      <c r="S290" s="2" t="str">
        <f>TEXT(data[[#This Row],[Date]],"mmm yyyy")</f>
        <v>Apr 2025</v>
      </c>
      <c r="T290" s="8">
        <f>data[[#This Row],[Profit]]/data[[#This Row],[Revenue]]</f>
        <v>0.44641148325358848</v>
      </c>
    </row>
    <row r="291" spans="1:20" x14ac:dyDescent="0.3">
      <c r="A291">
        <v>10289</v>
      </c>
      <c r="B291" t="s">
        <v>257</v>
      </c>
      <c r="C291" t="s">
        <v>608</v>
      </c>
      <c r="D291" t="s">
        <v>612</v>
      </c>
      <c r="E291" t="s">
        <v>629</v>
      </c>
      <c r="F291" t="s">
        <v>914</v>
      </c>
      <c r="G291" t="s">
        <v>1762</v>
      </c>
      <c r="H291" t="s">
        <v>1770</v>
      </c>
      <c r="I291" t="s">
        <v>1774</v>
      </c>
      <c r="J291" t="s">
        <v>1779</v>
      </c>
      <c r="K291">
        <v>3</v>
      </c>
      <c r="L291" s="2">
        <v>826</v>
      </c>
      <c r="M291">
        <v>0.2</v>
      </c>
      <c r="N291" s="2">
        <v>541.86</v>
      </c>
      <c r="O291" s="2">
        <v>1982.4</v>
      </c>
      <c r="P291" s="2">
        <v>1625.58</v>
      </c>
      <c r="Q291" s="2">
        <v>356.82</v>
      </c>
      <c r="R291">
        <v>1</v>
      </c>
      <c r="S291" s="2" t="str">
        <f>TEXT(data[[#This Row],[Date]],"mmm yyyy")</f>
        <v>Sep 2024</v>
      </c>
      <c r="T291" s="8">
        <f>data[[#This Row],[Profit]]/data[[#This Row],[Revenue]]</f>
        <v>0.17999394673123487</v>
      </c>
    </row>
    <row r="292" spans="1:20" x14ac:dyDescent="0.3">
      <c r="A292">
        <v>10290</v>
      </c>
      <c r="B292" t="s">
        <v>258</v>
      </c>
      <c r="C292" t="s">
        <v>609</v>
      </c>
      <c r="D292" t="s">
        <v>619</v>
      </c>
      <c r="E292" t="s">
        <v>628</v>
      </c>
      <c r="F292" t="s">
        <v>915</v>
      </c>
      <c r="G292" t="s">
        <v>1762</v>
      </c>
      <c r="H292" t="s">
        <v>1767</v>
      </c>
      <c r="I292" t="s">
        <v>1774</v>
      </c>
      <c r="J292" t="s">
        <v>1777</v>
      </c>
      <c r="K292">
        <v>1</v>
      </c>
      <c r="L292" s="2">
        <v>173</v>
      </c>
      <c r="M292">
        <v>0</v>
      </c>
      <c r="N292" s="2">
        <v>124.35</v>
      </c>
      <c r="O292" s="2">
        <v>173</v>
      </c>
      <c r="P292" s="2">
        <v>124.35</v>
      </c>
      <c r="Q292" s="2">
        <v>48.65</v>
      </c>
      <c r="R292">
        <v>0</v>
      </c>
      <c r="S292" s="2" t="str">
        <f>TEXT(data[[#This Row],[Date]],"mmm yyyy")</f>
        <v>Jul 2025</v>
      </c>
      <c r="T292" s="8">
        <f>data[[#This Row],[Profit]]/data[[#This Row],[Revenue]]</f>
        <v>0.28121387283236993</v>
      </c>
    </row>
    <row r="293" spans="1:20" x14ac:dyDescent="0.3">
      <c r="A293">
        <v>10291</v>
      </c>
      <c r="B293" t="s">
        <v>131</v>
      </c>
      <c r="C293" t="s">
        <v>607</v>
      </c>
      <c r="D293" t="s">
        <v>624</v>
      </c>
      <c r="E293" t="s">
        <v>627</v>
      </c>
      <c r="F293" t="s">
        <v>916</v>
      </c>
      <c r="G293" t="s">
        <v>1760</v>
      </c>
      <c r="H293" t="s">
        <v>1772</v>
      </c>
      <c r="I293" t="s">
        <v>1775</v>
      </c>
      <c r="J293" t="s">
        <v>1777</v>
      </c>
      <c r="K293">
        <v>5</v>
      </c>
      <c r="L293" s="2">
        <v>994</v>
      </c>
      <c r="M293">
        <v>0</v>
      </c>
      <c r="N293" s="2">
        <v>733.81</v>
      </c>
      <c r="O293" s="2">
        <v>4970</v>
      </c>
      <c r="P293" s="2">
        <v>3669.05</v>
      </c>
      <c r="Q293" s="2">
        <v>1300.95</v>
      </c>
      <c r="R293">
        <v>0</v>
      </c>
      <c r="S293" s="2" t="str">
        <f>TEXT(data[[#This Row],[Date]],"mmm yyyy")</f>
        <v>May 2024</v>
      </c>
      <c r="T293" s="8">
        <f>data[[#This Row],[Profit]]/data[[#This Row],[Revenue]]</f>
        <v>0.2617605633802817</v>
      </c>
    </row>
    <row r="294" spans="1:20" x14ac:dyDescent="0.3">
      <c r="A294">
        <v>10292</v>
      </c>
      <c r="B294" t="s">
        <v>259</v>
      </c>
      <c r="C294" t="s">
        <v>606</v>
      </c>
      <c r="D294" t="s">
        <v>610</v>
      </c>
      <c r="E294" t="s">
        <v>626</v>
      </c>
      <c r="F294" t="s">
        <v>917</v>
      </c>
      <c r="G294" t="s">
        <v>1764</v>
      </c>
      <c r="H294" t="s">
        <v>1772</v>
      </c>
      <c r="I294" t="s">
        <v>1774</v>
      </c>
      <c r="J294" t="s">
        <v>1778</v>
      </c>
      <c r="K294">
        <v>1</v>
      </c>
      <c r="L294" s="2">
        <v>1057</v>
      </c>
      <c r="M294">
        <v>0.15</v>
      </c>
      <c r="N294" s="2">
        <v>673.36</v>
      </c>
      <c r="O294" s="2">
        <v>898.45</v>
      </c>
      <c r="P294" s="2">
        <v>673.36</v>
      </c>
      <c r="Q294" s="2">
        <v>225.09</v>
      </c>
      <c r="R294">
        <v>1</v>
      </c>
      <c r="S294" s="2" t="str">
        <f>TEXT(data[[#This Row],[Date]],"mmm yyyy")</f>
        <v>Oct 2025</v>
      </c>
      <c r="T294" s="8">
        <f>data[[#This Row],[Profit]]/data[[#This Row],[Revenue]]</f>
        <v>0.2505314708664923</v>
      </c>
    </row>
    <row r="295" spans="1:20" x14ac:dyDescent="0.3">
      <c r="A295">
        <v>10293</v>
      </c>
      <c r="B295" t="s">
        <v>260</v>
      </c>
      <c r="C295" t="s">
        <v>606</v>
      </c>
      <c r="D295" t="s">
        <v>625</v>
      </c>
      <c r="E295" t="s">
        <v>627</v>
      </c>
      <c r="F295" t="s">
        <v>918</v>
      </c>
      <c r="G295" t="s">
        <v>1760</v>
      </c>
      <c r="H295" t="s">
        <v>1771</v>
      </c>
      <c r="I295" t="s">
        <v>1773</v>
      </c>
      <c r="J295" t="s">
        <v>1778</v>
      </c>
      <c r="K295">
        <v>16</v>
      </c>
      <c r="L295" s="2">
        <v>594</v>
      </c>
      <c r="M295">
        <v>0</v>
      </c>
      <c r="N295" s="2">
        <v>414.86</v>
      </c>
      <c r="O295" s="2">
        <v>9504</v>
      </c>
      <c r="P295" s="2">
        <v>6637.76</v>
      </c>
      <c r="Q295" s="2">
        <v>2866.24</v>
      </c>
      <c r="R295">
        <v>0</v>
      </c>
      <c r="S295" s="2" t="str">
        <f>TEXT(data[[#This Row],[Date]],"mmm yyyy")</f>
        <v>May 2024</v>
      </c>
      <c r="T295" s="8">
        <f>data[[#This Row],[Profit]]/data[[#This Row],[Revenue]]</f>
        <v>0.30158249158249156</v>
      </c>
    </row>
    <row r="296" spans="1:20" x14ac:dyDescent="0.3">
      <c r="A296">
        <v>10294</v>
      </c>
      <c r="B296" t="s">
        <v>261</v>
      </c>
      <c r="C296" t="s">
        <v>608</v>
      </c>
      <c r="D296" t="s">
        <v>612</v>
      </c>
      <c r="E296" t="s">
        <v>629</v>
      </c>
      <c r="F296" t="s">
        <v>919</v>
      </c>
      <c r="G296" t="s">
        <v>1759</v>
      </c>
      <c r="H296" t="s">
        <v>1768</v>
      </c>
      <c r="I296" t="s">
        <v>1774</v>
      </c>
      <c r="J296" t="s">
        <v>1778</v>
      </c>
      <c r="K296">
        <v>13</v>
      </c>
      <c r="L296" s="2">
        <v>1104</v>
      </c>
      <c r="M296">
        <v>0.1</v>
      </c>
      <c r="N296" s="2">
        <v>817.55</v>
      </c>
      <c r="O296" s="2">
        <v>12916.8</v>
      </c>
      <c r="P296" s="2">
        <v>10628.15</v>
      </c>
      <c r="Q296" s="2">
        <v>2288.65</v>
      </c>
      <c r="R296">
        <v>0</v>
      </c>
      <c r="S296" s="2" t="str">
        <f>TEXT(data[[#This Row],[Date]],"mmm yyyy")</f>
        <v>Oct 2024</v>
      </c>
      <c r="T296" s="8">
        <f>data[[#This Row],[Profit]]/data[[#This Row],[Revenue]]</f>
        <v>0.1771839774557166</v>
      </c>
    </row>
    <row r="297" spans="1:20" x14ac:dyDescent="0.3">
      <c r="A297">
        <v>10295</v>
      </c>
      <c r="B297" t="s">
        <v>124</v>
      </c>
      <c r="C297" t="s">
        <v>607</v>
      </c>
      <c r="D297" t="s">
        <v>611</v>
      </c>
      <c r="E297" t="s">
        <v>626</v>
      </c>
      <c r="F297" t="s">
        <v>920</v>
      </c>
      <c r="G297" t="s">
        <v>1764</v>
      </c>
      <c r="H297" t="s">
        <v>1768</v>
      </c>
      <c r="I297" t="s">
        <v>1774</v>
      </c>
      <c r="J297" t="s">
        <v>1779</v>
      </c>
      <c r="K297">
        <v>12</v>
      </c>
      <c r="L297" s="2">
        <v>1066</v>
      </c>
      <c r="M297">
        <v>0.15</v>
      </c>
      <c r="N297" s="2">
        <v>618.17999999999995</v>
      </c>
      <c r="O297" s="2">
        <v>10873.2</v>
      </c>
      <c r="P297" s="2">
        <v>7418.16</v>
      </c>
      <c r="Q297" s="2">
        <v>3455.04</v>
      </c>
      <c r="R297">
        <v>1</v>
      </c>
      <c r="S297" s="2" t="str">
        <f>TEXT(data[[#This Row],[Date]],"mmm yyyy")</f>
        <v>Sep 2024</v>
      </c>
      <c r="T297" s="8">
        <f>data[[#This Row],[Profit]]/data[[#This Row],[Revenue]]</f>
        <v>0.31775742191811057</v>
      </c>
    </row>
    <row r="298" spans="1:20" x14ac:dyDescent="0.3">
      <c r="A298">
        <v>10296</v>
      </c>
      <c r="B298" t="s">
        <v>262</v>
      </c>
      <c r="C298" t="s">
        <v>608</v>
      </c>
      <c r="D298" t="s">
        <v>612</v>
      </c>
      <c r="E298" t="s">
        <v>629</v>
      </c>
      <c r="F298" t="s">
        <v>921</v>
      </c>
      <c r="G298" t="s">
        <v>1766</v>
      </c>
      <c r="H298" t="s">
        <v>1768</v>
      </c>
      <c r="I298" t="s">
        <v>1774</v>
      </c>
      <c r="J298" t="s">
        <v>1779</v>
      </c>
      <c r="K298">
        <v>9</v>
      </c>
      <c r="L298" s="2">
        <v>955</v>
      </c>
      <c r="M298">
        <v>0.2</v>
      </c>
      <c r="N298" s="2">
        <v>589.76</v>
      </c>
      <c r="O298" s="2">
        <v>6876</v>
      </c>
      <c r="P298" s="2">
        <v>5307.84</v>
      </c>
      <c r="Q298" s="2">
        <v>1568.16</v>
      </c>
      <c r="R298">
        <v>1</v>
      </c>
      <c r="S298" s="2" t="str">
        <f>TEXT(data[[#This Row],[Date]],"mmm yyyy")</f>
        <v>Mar 2024</v>
      </c>
      <c r="T298" s="8">
        <f>data[[#This Row],[Profit]]/data[[#This Row],[Revenue]]</f>
        <v>0.22806282722513091</v>
      </c>
    </row>
    <row r="299" spans="1:20" x14ac:dyDescent="0.3">
      <c r="A299">
        <v>10297</v>
      </c>
      <c r="B299" t="s">
        <v>178</v>
      </c>
      <c r="C299" t="s">
        <v>606</v>
      </c>
      <c r="D299" t="s">
        <v>620</v>
      </c>
      <c r="E299" t="s">
        <v>629</v>
      </c>
      <c r="F299" t="s">
        <v>922</v>
      </c>
      <c r="G299" t="s">
        <v>1759</v>
      </c>
      <c r="H299" t="s">
        <v>1772</v>
      </c>
      <c r="I299" t="s">
        <v>1773</v>
      </c>
      <c r="J299" t="s">
        <v>1776</v>
      </c>
      <c r="K299">
        <v>1</v>
      </c>
      <c r="L299" s="2">
        <v>960</v>
      </c>
      <c r="M299">
        <v>0</v>
      </c>
      <c r="N299" s="2">
        <v>607.73</v>
      </c>
      <c r="O299" s="2">
        <v>960</v>
      </c>
      <c r="P299" s="2">
        <v>607.73</v>
      </c>
      <c r="Q299" s="2">
        <v>352.27</v>
      </c>
      <c r="R299">
        <v>0</v>
      </c>
      <c r="S299" s="2" t="str">
        <f>TEXT(data[[#This Row],[Date]],"mmm yyyy")</f>
        <v>Dec 2024</v>
      </c>
      <c r="T299" s="8">
        <f>data[[#This Row],[Profit]]/data[[#This Row],[Revenue]]</f>
        <v>0.36694791666666665</v>
      </c>
    </row>
    <row r="300" spans="1:20" x14ac:dyDescent="0.3">
      <c r="A300">
        <v>10298</v>
      </c>
      <c r="B300" t="s">
        <v>263</v>
      </c>
      <c r="C300" t="s">
        <v>607</v>
      </c>
      <c r="D300" t="s">
        <v>624</v>
      </c>
      <c r="E300" t="s">
        <v>628</v>
      </c>
      <c r="F300" t="s">
        <v>923</v>
      </c>
      <c r="G300" t="s">
        <v>1764</v>
      </c>
      <c r="H300" t="s">
        <v>1772</v>
      </c>
      <c r="I300" t="s">
        <v>1775</v>
      </c>
      <c r="J300" t="s">
        <v>1778</v>
      </c>
      <c r="K300">
        <v>6</v>
      </c>
      <c r="L300" s="2">
        <v>669</v>
      </c>
      <c r="M300">
        <v>0</v>
      </c>
      <c r="N300" s="2">
        <v>464.05</v>
      </c>
      <c r="O300" s="2">
        <v>4014</v>
      </c>
      <c r="P300" s="2">
        <v>2784.3</v>
      </c>
      <c r="Q300" s="2">
        <v>1229.7</v>
      </c>
      <c r="R300">
        <v>1</v>
      </c>
      <c r="S300" s="2" t="str">
        <f>TEXT(data[[#This Row],[Date]],"mmm yyyy")</f>
        <v>Dec 2024</v>
      </c>
      <c r="T300" s="8">
        <f>data[[#This Row],[Profit]]/data[[#This Row],[Revenue]]</f>
        <v>0.30635276532137518</v>
      </c>
    </row>
    <row r="301" spans="1:20" x14ac:dyDescent="0.3">
      <c r="A301">
        <v>10299</v>
      </c>
      <c r="B301" t="s">
        <v>264</v>
      </c>
      <c r="C301" t="s">
        <v>608</v>
      </c>
      <c r="D301" t="s">
        <v>618</v>
      </c>
      <c r="E301" t="s">
        <v>626</v>
      </c>
      <c r="F301" t="s">
        <v>924</v>
      </c>
      <c r="G301" t="s">
        <v>1761</v>
      </c>
      <c r="H301" t="s">
        <v>1769</v>
      </c>
      <c r="I301" t="s">
        <v>1774</v>
      </c>
      <c r="J301" t="s">
        <v>1776</v>
      </c>
      <c r="K301">
        <v>14</v>
      </c>
      <c r="L301" s="2">
        <v>416</v>
      </c>
      <c r="M301">
        <v>0.1</v>
      </c>
      <c r="N301" s="2">
        <v>221.89</v>
      </c>
      <c r="O301" s="2">
        <v>5241.6000000000004</v>
      </c>
      <c r="P301" s="2">
        <v>3106.46</v>
      </c>
      <c r="Q301" s="2">
        <v>2135.14</v>
      </c>
      <c r="R301">
        <v>0</v>
      </c>
      <c r="S301" s="2" t="str">
        <f>TEXT(data[[#This Row],[Date]],"mmm yyyy")</f>
        <v>Nov 2025</v>
      </c>
      <c r="T301" s="8">
        <f>data[[#This Row],[Profit]]/data[[#This Row],[Revenue]]</f>
        <v>0.40734508547008541</v>
      </c>
    </row>
    <row r="302" spans="1:20" x14ac:dyDescent="0.3">
      <c r="A302">
        <v>10300</v>
      </c>
      <c r="B302" t="s">
        <v>35</v>
      </c>
      <c r="C302" t="s">
        <v>608</v>
      </c>
      <c r="D302" t="s">
        <v>615</v>
      </c>
      <c r="E302" t="s">
        <v>627</v>
      </c>
      <c r="F302" t="s">
        <v>925</v>
      </c>
      <c r="G302" t="s">
        <v>1761</v>
      </c>
      <c r="H302" t="s">
        <v>1767</v>
      </c>
      <c r="I302" t="s">
        <v>1775</v>
      </c>
      <c r="J302" t="s">
        <v>1776</v>
      </c>
      <c r="K302">
        <v>19</v>
      </c>
      <c r="L302" s="2">
        <v>134</v>
      </c>
      <c r="M302">
        <v>0.1</v>
      </c>
      <c r="N302" s="2">
        <v>93.3</v>
      </c>
      <c r="O302" s="2">
        <v>2291.4</v>
      </c>
      <c r="P302" s="2">
        <v>1772.7</v>
      </c>
      <c r="Q302" s="2">
        <v>518.70000000000005</v>
      </c>
      <c r="R302">
        <v>0</v>
      </c>
      <c r="S302" s="2" t="str">
        <f>TEXT(data[[#This Row],[Date]],"mmm yyyy")</f>
        <v>Jun 2024</v>
      </c>
      <c r="T302" s="8">
        <f>data[[#This Row],[Profit]]/data[[#This Row],[Revenue]]</f>
        <v>0.22636815920398012</v>
      </c>
    </row>
    <row r="303" spans="1:20" x14ac:dyDescent="0.3">
      <c r="A303">
        <v>10301</v>
      </c>
      <c r="B303" t="s">
        <v>265</v>
      </c>
      <c r="C303" t="s">
        <v>607</v>
      </c>
      <c r="D303" t="s">
        <v>617</v>
      </c>
      <c r="E303" t="s">
        <v>629</v>
      </c>
      <c r="F303" t="s">
        <v>926</v>
      </c>
      <c r="G303" t="s">
        <v>1759</v>
      </c>
      <c r="H303" t="s">
        <v>1771</v>
      </c>
      <c r="I303" t="s">
        <v>1775</v>
      </c>
      <c r="J303" t="s">
        <v>1776</v>
      </c>
      <c r="K303">
        <v>13</v>
      </c>
      <c r="L303" s="2">
        <v>631</v>
      </c>
      <c r="M303">
        <v>0.2</v>
      </c>
      <c r="N303" s="2">
        <v>456.89</v>
      </c>
      <c r="O303" s="2">
        <v>6562.4</v>
      </c>
      <c r="P303" s="2">
        <v>5939.57</v>
      </c>
      <c r="Q303" s="2">
        <v>622.83000000000004</v>
      </c>
      <c r="R303">
        <v>0</v>
      </c>
      <c r="S303" s="2" t="str">
        <f>TEXT(data[[#This Row],[Date]],"mmm yyyy")</f>
        <v>Sep 2025</v>
      </c>
      <c r="T303" s="8">
        <f>data[[#This Row],[Profit]]/data[[#This Row],[Revenue]]</f>
        <v>9.4908874801901758E-2</v>
      </c>
    </row>
    <row r="304" spans="1:20" x14ac:dyDescent="0.3">
      <c r="A304">
        <v>10302</v>
      </c>
      <c r="B304" t="s">
        <v>154</v>
      </c>
      <c r="C304" t="s">
        <v>606</v>
      </c>
      <c r="D304" t="s">
        <v>620</v>
      </c>
      <c r="E304" t="s">
        <v>626</v>
      </c>
      <c r="F304" t="s">
        <v>927</v>
      </c>
      <c r="G304" t="s">
        <v>1765</v>
      </c>
      <c r="H304" t="s">
        <v>1772</v>
      </c>
      <c r="I304" t="s">
        <v>1775</v>
      </c>
      <c r="J304" t="s">
        <v>1778</v>
      </c>
      <c r="K304">
        <v>17</v>
      </c>
      <c r="L304" s="2">
        <v>523</v>
      </c>
      <c r="M304">
        <v>0</v>
      </c>
      <c r="N304" s="2">
        <v>277.43</v>
      </c>
      <c r="O304" s="2">
        <v>8891</v>
      </c>
      <c r="P304" s="2">
        <v>4716.3100000000004</v>
      </c>
      <c r="Q304" s="2">
        <v>4174.6899999999996</v>
      </c>
      <c r="R304">
        <v>0</v>
      </c>
      <c r="S304" s="2" t="str">
        <f>TEXT(data[[#This Row],[Date]],"mmm yyyy")</f>
        <v>Aug 2024</v>
      </c>
      <c r="T304" s="8">
        <f>data[[#This Row],[Profit]]/data[[#This Row],[Revenue]]</f>
        <v>0.46954110898661561</v>
      </c>
    </row>
    <row r="305" spans="1:20" x14ac:dyDescent="0.3">
      <c r="A305">
        <v>10303</v>
      </c>
      <c r="B305" t="s">
        <v>266</v>
      </c>
      <c r="C305" t="s">
        <v>609</v>
      </c>
      <c r="D305" t="s">
        <v>619</v>
      </c>
      <c r="E305" t="s">
        <v>628</v>
      </c>
      <c r="F305" t="s">
        <v>928</v>
      </c>
      <c r="G305" t="s">
        <v>1762</v>
      </c>
      <c r="H305" t="s">
        <v>1769</v>
      </c>
      <c r="I305" t="s">
        <v>1774</v>
      </c>
      <c r="J305" t="s">
        <v>1778</v>
      </c>
      <c r="K305">
        <v>20</v>
      </c>
      <c r="L305" s="2">
        <v>434</v>
      </c>
      <c r="M305">
        <v>0</v>
      </c>
      <c r="N305" s="2">
        <v>221.3</v>
      </c>
      <c r="O305" s="2">
        <v>8680</v>
      </c>
      <c r="P305" s="2">
        <v>4426</v>
      </c>
      <c r="Q305" s="2">
        <v>4254</v>
      </c>
      <c r="R305">
        <v>1</v>
      </c>
      <c r="S305" s="2" t="str">
        <f>TEXT(data[[#This Row],[Date]],"mmm yyyy")</f>
        <v>Apr 2024</v>
      </c>
      <c r="T305" s="8">
        <f>data[[#This Row],[Profit]]/data[[#This Row],[Revenue]]</f>
        <v>0.49009216589861754</v>
      </c>
    </row>
    <row r="306" spans="1:20" x14ac:dyDescent="0.3">
      <c r="A306">
        <v>10304</v>
      </c>
      <c r="B306" t="s">
        <v>19</v>
      </c>
      <c r="C306" t="s">
        <v>606</v>
      </c>
      <c r="D306" t="s">
        <v>610</v>
      </c>
      <c r="E306" t="s">
        <v>627</v>
      </c>
      <c r="F306" t="s">
        <v>929</v>
      </c>
      <c r="G306" t="s">
        <v>1762</v>
      </c>
      <c r="H306" t="s">
        <v>1771</v>
      </c>
      <c r="I306" t="s">
        <v>1775</v>
      </c>
      <c r="J306" t="s">
        <v>1778</v>
      </c>
      <c r="K306">
        <v>7</v>
      </c>
      <c r="L306" s="2">
        <v>584</v>
      </c>
      <c r="M306">
        <v>0.1</v>
      </c>
      <c r="N306" s="2">
        <v>414.55</v>
      </c>
      <c r="O306" s="2">
        <v>3679.2</v>
      </c>
      <c r="P306" s="2">
        <v>2901.85</v>
      </c>
      <c r="Q306" s="2">
        <v>777.35</v>
      </c>
      <c r="R306">
        <v>0</v>
      </c>
      <c r="S306" s="2" t="str">
        <f>TEXT(data[[#This Row],[Date]],"mmm yyyy")</f>
        <v>Aug 2024</v>
      </c>
      <c r="T306" s="8">
        <f>data[[#This Row],[Profit]]/data[[#This Row],[Revenue]]</f>
        <v>0.21128234398782345</v>
      </c>
    </row>
    <row r="307" spans="1:20" x14ac:dyDescent="0.3">
      <c r="A307">
        <v>10305</v>
      </c>
      <c r="B307" t="s">
        <v>267</v>
      </c>
      <c r="C307" t="s">
        <v>609</v>
      </c>
      <c r="D307" t="s">
        <v>623</v>
      </c>
      <c r="E307" t="s">
        <v>626</v>
      </c>
      <c r="F307" t="s">
        <v>930</v>
      </c>
      <c r="G307" t="s">
        <v>1766</v>
      </c>
      <c r="H307" t="s">
        <v>1770</v>
      </c>
      <c r="I307" t="s">
        <v>1774</v>
      </c>
      <c r="J307" t="s">
        <v>1778</v>
      </c>
      <c r="K307">
        <v>19</v>
      </c>
      <c r="L307" s="2">
        <v>491</v>
      </c>
      <c r="M307">
        <v>0</v>
      </c>
      <c r="N307" s="2">
        <v>294.62</v>
      </c>
      <c r="O307" s="2">
        <v>9329</v>
      </c>
      <c r="P307" s="2">
        <v>5597.78</v>
      </c>
      <c r="Q307" s="2">
        <v>3731.22</v>
      </c>
      <c r="R307">
        <v>1</v>
      </c>
      <c r="S307" s="2" t="str">
        <f>TEXT(data[[#This Row],[Date]],"mmm yyyy")</f>
        <v>Aug 2024</v>
      </c>
      <c r="T307" s="8">
        <f>data[[#This Row],[Profit]]/data[[#This Row],[Revenue]]</f>
        <v>0.39995926680244398</v>
      </c>
    </row>
    <row r="308" spans="1:20" x14ac:dyDescent="0.3">
      <c r="A308">
        <v>10306</v>
      </c>
      <c r="B308" t="s">
        <v>268</v>
      </c>
      <c r="C308" t="s">
        <v>609</v>
      </c>
      <c r="D308" t="s">
        <v>619</v>
      </c>
      <c r="E308" t="s">
        <v>629</v>
      </c>
      <c r="F308" t="s">
        <v>931</v>
      </c>
      <c r="G308" t="s">
        <v>1761</v>
      </c>
      <c r="H308" t="s">
        <v>1769</v>
      </c>
      <c r="I308" t="s">
        <v>1775</v>
      </c>
      <c r="J308" t="s">
        <v>1777</v>
      </c>
      <c r="K308">
        <v>14</v>
      </c>
      <c r="L308" s="2">
        <v>218</v>
      </c>
      <c r="M308">
        <v>0.15</v>
      </c>
      <c r="N308" s="2">
        <v>161.82</v>
      </c>
      <c r="O308" s="2">
        <v>2594.1999999999998</v>
      </c>
      <c r="P308" s="2">
        <v>2265.48</v>
      </c>
      <c r="Q308" s="2">
        <v>328.72</v>
      </c>
      <c r="R308">
        <v>1</v>
      </c>
      <c r="S308" s="2" t="str">
        <f>TEXT(data[[#This Row],[Date]],"mmm yyyy")</f>
        <v>Jul 2024</v>
      </c>
      <c r="T308" s="8">
        <f>data[[#This Row],[Profit]]/data[[#This Row],[Revenue]]</f>
        <v>0.12671343766864546</v>
      </c>
    </row>
    <row r="309" spans="1:20" x14ac:dyDescent="0.3">
      <c r="A309">
        <v>10307</v>
      </c>
      <c r="B309" t="s">
        <v>55</v>
      </c>
      <c r="C309" t="s">
        <v>606</v>
      </c>
      <c r="D309" t="s">
        <v>610</v>
      </c>
      <c r="E309" t="s">
        <v>627</v>
      </c>
      <c r="F309" t="s">
        <v>932</v>
      </c>
      <c r="G309" t="s">
        <v>1760</v>
      </c>
      <c r="H309" t="s">
        <v>1768</v>
      </c>
      <c r="I309" t="s">
        <v>1774</v>
      </c>
      <c r="J309" t="s">
        <v>1776</v>
      </c>
      <c r="K309">
        <v>1</v>
      </c>
      <c r="L309" s="2">
        <v>1328</v>
      </c>
      <c r="M309">
        <v>0.15</v>
      </c>
      <c r="N309" s="2">
        <v>922.11</v>
      </c>
      <c r="O309" s="2">
        <v>1128.8</v>
      </c>
      <c r="P309" s="2">
        <v>922.11</v>
      </c>
      <c r="Q309" s="2">
        <v>206.69</v>
      </c>
      <c r="R309">
        <v>0</v>
      </c>
      <c r="S309" s="2" t="str">
        <f>TEXT(data[[#This Row],[Date]],"mmm yyyy")</f>
        <v>Sep 2024</v>
      </c>
      <c r="T309" s="8">
        <f>data[[#This Row],[Profit]]/data[[#This Row],[Revenue]]</f>
        <v>0.18310595322466336</v>
      </c>
    </row>
    <row r="310" spans="1:20" x14ac:dyDescent="0.3">
      <c r="A310">
        <v>10308</v>
      </c>
      <c r="B310" t="s">
        <v>269</v>
      </c>
      <c r="C310" t="s">
        <v>609</v>
      </c>
      <c r="D310" t="s">
        <v>623</v>
      </c>
      <c r="E310" t="s">
        <v>627</v>
      </c>
      <c r="F310" t="s">
        <v>933</v>
      </c>
      <c r="G310" t="s">
        <v>1766</v>
      </c>
      <c r="H310" t="s">
        <v>1771</v>
      </c>
      <c r="I310" t="s">
        <v>1775</v>
      </c>
      <c r="J310" t="s">
        <v>1776</v>
      </c>
      <c r="K310">
        <v>1</v>
      </c>
      <c r="L310" s="2">
        <v>513</v>
      </c>
      <c r="M310">
        <v>0.2</v>
      </c>
      <c r="N310" s="2">
        <v>290.33</v>
      </c>
      <c r="O310" s="2">
        <v>410.4</v>
      </c>
      <c r="P310" s="2">
        <v>290.33</v>
      </c>
      <c r="Q310" s="2">
        <v>120.07</v>
      </c>
      <c r="R310">
        <v>0</v>
      </c>
      <c r="S310" s="2" t="str">
        <f>TEXT(data[[#This Row],[Date]],"mmm yyyy")</f>
        <v>Oct 2025</v>
      </c>
      <c r="T310" s="8">
        <f>data[[#This Row],[Profit]]/data[[#This Row],[Revenue]]</f>
        <v>0.2925682261208577</v>
      </c>
    </row>
    <row r="311" spans="1:20" x14ac:dyDescent="0.3">
      <c r="A311">
        <v>10309</v>
      </c>
      <c r="B311" t="s">
        <v>28</v>
      </c>
      <c r="C311" t="s">
        <v>609</v>
      </c>
      <c r="D311" t="s">
        <v>613</v>
      </c>
      <c r="E311" t="s">
        <v>629</v>
      </c>
      <c r="F311" t="s">
        <v>934</v>
      </c>
      <c r="G311" t="s">
        <v>1765</v>
      </c>
      <c r="H311" t="s">
        <v>1770</v>
      </c>
      <c r="I311" t="s">
        <v>1775</v>
      </c>
      <c r="J311" t="s">
        <v>1779</v>
      </c>
      <c r="K311">
        <v>14</v>
      </c>
      <c r="L311" s="2">
        <v>763</v>
      </c>
      <c r="M311">
        <v>0</v>
      </c>
      <c r="N311" s="2">
        <v>534.96</v>
      </c>
      <c r="O311" s="2">
        <v>10682</v>
      </c>
      <c r="P311" s="2">
        <v>7489.44</v>
      </c>
      <c r="Q311" s="2">
        <v>3192.56</v>
      </c>
      <c r="R311">
        <v>1</v>
      </c>
      <c r="S311" s="2" t="str">
        <f>TEXT(data[[#This Row],[Date]],"mmm yyyy")</f>
        <v>Apr 2024</v>
      </c>
      <c r="T311" s="8">
        <f>data[[#This Row],[Profit]]/data[[#This Row],[Revenue]]</f>
        <v>0.29887287024901704</v>
      </c>
    </row>
    <row r="312" spans="1:20" x14ac:dyDescent="0.3">
      <c r="A312">
        <v>10310</v>
      </c>
      <c r="B312" t="s">
        <v>186</v>
      </c>
      <c r="C312" t="s">
        <v>607</v>
      </c>
      <c r="D312" t="s">
        <v>624</v>
      </c>
      <c r="E312" t="s">
        <v>628</v>
      </c>
      <c r="F312" t="s">
        <v>935</v>
      </c>
      <c r="G312" t="s">
        <v>1766</v>
      </c>
      <c r="H312" t="s">
        <v>1772</v>
      </c>
      <c r="I312" t="s">
        <v>1775</v>
      </c>
      <c r="J312" t="s">
        <v>1776</v>
      </c>
      <c r="K312">
        <v>16</v>
      </c>
      <c r="L312" s="2">
        <v>826</v>
      </c>
      <c r="M312">
        <v>0.05</v>
      </c>
      <c r="N312" s="2">
        <v>588.52</v>
      </c>
      <c r="O312" s="2">
        <v>12555.2</v>
      </c>
      <c r="P312" s="2">
        <v>9416.32</v>
      </c>
      <c r="Q312" s="2">
        <v>3138.88</v>
      </c>
      <c r="R312">
        <v>0</v>
      </c>
      <c r="S312" s="2" t="str">
        <f>TEXT(data[[#This Row],[Date]],"mmm yyyy")</f>
        <v>Jun 2025</v>
      </c>
      <c r="T312" s="8">
        <f>data[[#This Row],[Profit]]/data[[#This Row],[Revenue]]</f>
        <v>0.25000637186185803</v>
      </c>
    </row>
    <row r="313" spans="1:20" x14ac:dyDescent="0.3">
      <c r="A313">
        <v>10311</v>
      </c>
      <c r="B313" t="s">
        <v>270</v>
      </c>
      <c r="C313" t="s">
        <v>608</v>
      </c>
      <c r="D313" t="s">
        <v>612</v>
      </c>
      <c r="E313" t="s">
        <v>627</v>
      </c>
      <c r="F313" t="s">
        <v>936</v>
      </c>
      <c r="G313" t="s">
        <v>1761</v>
      </c>
      <c r="H313" t="s">
        <v>1769</v>
      </c>
      <c r="I313" t="s">
        <v>1773</v>
      </c>
      <c r="J313" t="s">
        <v>1779</v>
      </c>
      <c r="K313">
        <v>13</v>
      </c>
      <c r="L313" s="2">
        <v>373</v>
      </c>
      <c r="M313">
        <v>0.05</v>
      </c>
      <c r="N313" s="2">
        <v>262.20999999999998</v>
      </c>
      <c r="O313" s="2">
        <v>4606.55</v>
      </c>
      <c r="P313" s="2">
        <v>3408.73</v>
      </c>
      <c r="Q313" s="2">
        <v>1197.82</v>
      </c>
      <c r="R313">
        <v>1</v>
      </c>
      <c r="S313" s="2" t="str">
        <f>TEXT(data[[#This Row],[Date]],"mmm yyyy")</f>
        <v>May 2024</v>
      </c>
      <c r="T313" s="8">
        <f>data[[#This Row],[Profit]]/data[[#This Row],[Revenue]]</f>
        <v>0.26002539861718638</v>
      </c>
    </row>
    <row r="314" spans="1:20" x14ac:dyDescent="0.3">
      <c r="A314">
        <v>10312</v>
      </c>
      <c r="B314" t="s">
        <v>167</v>
      </c>
      <c r="C314" t="s">
        <v>609</v>
      </c>
      <c r="D314" t="s">
        <v>622</v>
      </c>
      <c r="E314" t="s">
        <v>629</v>
      </c>
      <c r="F314" t="s">
        <v>937</v>
      </c>
      <c r="G314" t="s">
        <v>1764</v>
      </c>
      <c r="H314" t="s">
        <v>1768</v>
      </c>
      <c r="I314" t="s">
        <v>1774</v>
      </c>
      <c r="J314" t="s">
        <v>1777</v>
      </c>
      <c r="K314">
        <v>2</v>
      </c>
      <c r="L314" s="2">
        <v>1274</v>
      </c>
      <c r="M314">
        <v>0.05</v>
      </c>
      <c r="N314" s="2">
        <v>920.15</v>
      </c>
      <c r="O314" s="2">
        <v>2420.6</v>
      </c>
      <c r="P314" s="2">
        <v>1840.3</v>
      </c>
      <c r="Q314" s="2">
        <v>580.29999999999995</v>
      </c>
      <c r="R314">
        <v>0</v>
      </c>
      <c r="S314" s="2" t="str">
        <f>TEXT(data[[#This Row],[Date]],"mmm yyyy")</f>
        <v>Nov 2024</v>
      </c>
      <c r="T314" s="8">
        <f>data[[#This Row],[Profit]]/data[[#This Row],[Revenue]]</f>
        <v>0.23973395026026603</v>
      </c>
    </row>
    <row r="315" spans="1:20" x14ac:dyDescent="0.3">
      <c r="A315">
        <v>10313</v>
      </c>
      <c r="B315" t="s">
        <v>271</v>
      </c>
      <c r="C315" t="s">
        <v>609</v>
      </c>
      <c r="D315" t="s">
        <v>613</v>
      </c>
      <c r="E315" t="s">
        <v>628</v>
      </c>
      <c r="F315" t="s">
        <v>938</v>
      </c>
      <c r="G315" t="s">
        <v>1764</v>
      </c>
      <c r="H315" t="s">
        <v>1771</v>
      </c>
      <c r="I315" t="s">
        <v>1773</v>
      </c>
      <c r="J315" t="s">
        <v>1776</v>
      </c>
      <c r="K315">
        <v>13</v>
      </c>
      <c r="L315" s="2">
        <v>481</v>
      </c>
      <c r="M315">
        <v>0</v>
      </c>
      <c r="N315" s="2">
        <v>252.29</v>
      </c>
      <c r="O315" s="2">
        <v>6253</v>
      </c>
      <c r="P315" s="2">
        <v>3279.77</v>
      </c>
      <c r="Q315" s="2">
        <v>2973.23</v>
      </c>
      <c r="R315">
        <v>0</v>
      </c>
      <c r="S315" s="2" t="str">
        <f>TEXT(data[[#This Row],[Date]],"mmm yyyy")</f>
        <v>Jul 2024</v>
      </c>
      <c r="T315" s="8">
        <f>data[[#This Row],[Profit]]/data[[#This Row],[Revenue]]</f>
        <v>0.4754885654885655</v>
      </c>
    </row>
    <row r="316" spans="1:20" x14ac:dyDescent="0.3">
      <c r="A316">
        <v>10314</v>
      </c>
      <c r="B316" t="s">
        <v>215</v>
      </c>
      <c r="C316" t="s">
        <v>607</v>
      </c>
      <c r="D316" t="s">
        <v>621</v>
      </c>
      <c r="E316" t="s">
        <v>627</v>
      </c>
      <c r="F316" t="s">
        <v>939</v>
      </c>
      <c r="G316" t="s">
        <v>1764</v>
      </c>
      <c r="H316" t="s">
        <v>1767</v>
      </c>
      <c r="I316" t="s">
        <v>1774</v>
      </c>
      <c r="J316" t="s">
        <v>1779</v>
      </c>
      <c r="K316">
        <v>8</v>
      </c>
      <c r="L316" s="2">
        <v>246</v>
      </c>
      <c r="M316">
        <v>0.15</v>
      </c>
      <c r="N316" s="2">
        <v>165.56</v>
      </c>
      <c r="O316" s="2">
        <v>1672.8</v>
      </c>
      <c r="P316" s="2">
        <v>1324.48</v>
      </c>
      <c r="Q316" s="2">
        <v>348.32</v>
      </c>
      <c r="R316">
        <v>1</v>
      </c>
      <c r="S316" s="2" t="str">
        <f>TEXT(data[[#This Row],[Date]],"mmm yyyy")</f>
        <v>Sep 2025</v>
      </c>
      <c r="T316" s="8">
        <f>data[[#This Row],[Profit]]/data[[#This Row],[Revenue]]</f>
        <v>0.20822572931611669</v>
      </c>
    </row>
    <row r="317" spans="1:20" x14ac:dyDescent="0.3">
      <c r="A317">
        <v>10315</v>
      </c>
      <c r="B317" t="s">
        <v>123</v>
      </c>
      <c r="C317" t="s">
        <v>609</v>
      </c>
      <c r="D317" t="s">
        <v>613</v>
      </c>
      <c r="E317" t="s">
        <v>626</v>
      </c>
      <c r="F317" t="s">
        <v>940</v>
      </c>
      <c r="G317" t="s">
        <v>1761</v>
      </c>
      <c r="H317" t="s">
        <v>1771</v>
      </c>
      <c r="I317" t="s">
        <v>1773</v>
      </c>
      <c r="J317" t="s">
        <v>1776</v>
      </c>
      <c r="K317">
        <v>13</v>
      </c>
      <c r="L317" s="2">
        <v>302</v>
      </c>
      <c r="M317">
        <v>0.2</v>
      </c>
      <c r="N317" s="2">
        <v>210.5</v>
      </c>
      <c r="O317" s="2">
        <v>3140.8</v>
      </c>
      <c r="P317" s="2">
        <v>2736.5</v>
      </c>
      <c r="Q317" s="2">
        <v>404.3</v>
      </c>
      <c r="R317">
        <v>0</v>
      </c>
      <c r="S317" s="2" t="str">
        <f>TEXT(data[[#This Row],[Date]],"mmm yyyy")</f>
        <v>Oct 2025</v>
      </c>
      <c r="T317" s="8">
        <f>data[[#This Row],[Profit]]/data[[#This Row],[Revenue]]</f>
        <v>0.12872516556291391</v>
      </c>
    </row>
    <row r="318" spans="1:20" x14ac:dyDescent="0.3">
      <c r="A318">
        <v>10316</v>
      </c>
      <c r="B318" t="s">
        <v>272</v>
      </c>
      <c r="C318" t="s">
        <v>609</v>
      </c>
      <c r="D318" t="s">
        <v>619</v>
      </c>
      <c r="E318" t="s">
        <v>628</v>
      </c>
      <c r="F318" t="s">
        <v>941</v>
      </c>
      <c r="G318" t="s">
        <v>1760</v>
      </c>
      <c r="H318" t="s">
        <v>1768</v>
      </c>
      <c r="I318" t="s">
        <v>1773</v>
      </c>
      <c r="J318" t="s">
        <v>1779</v>
      </c>
      <c r="K318">
        <v>8</v>
      </c>
      <c r="L318" s="2">
        <v>1211</v>
      </c>
      <c r="M318">
        <v>0.05</v>
      </c>
      <c r="N318" s="2">
        <v>840.23</v>
      </c>
      <c r="O318" s="2">
        <v>9203.6</v>
      </c>
      <c r="P318" s="2">
        <v>6721.84</v>
      </c>
      <c r="Q318" s="2">
        <v>2481.7600000000002</v>
      </c>
      <c r="R318">
        <v>0</v>
      </c>
      <c r="S318" s="2" t="str">
        <f>TEXT(data[[#This Row],[Date]],"mmm yyyy")</f>
        <v>Jul 2025</v>
      </c>
      <c r="T318" s="8">
        <f>data[[#This Row],[Profit]]/data[[#This Row],[Revenue]]</f>
        <v>0.26965100612803689</v>
      </c>
    </row>
    <row r="319" spans="1:20" x14ac:dyDescent="0.3">
      <c r="A319">
        <v>10317</v>
      </c>
      <c r="B319" t="s">
        <v>273</v>
      </c>
      <c r="C319" t="s">
        <v>609</v>
      </c>
      <c r="D319" t="s">
        <v>619</v>
      </c>
      <c r="E319" t="s">
        <v>629</v>
      </c>
      <c r="F319" t="s">
        <v>942</v>
      </c>
      <c r="G319" t="s">
        <v>1763</v>
      </c>
      <c r="H319" t="s">
        <v>1768</v>
      </c>
      <c r="I319" t="s">
        <v>1773</v>
      </c>
      <c r="J319" t="s">
        <v>1776</v>
      </c>
      <c r="K319">
        <v>6</v>
      </c>
      <c r="L319" s="2">
        <v>898</v>
      </c>
      <c r="M319">
        <v>0.05</v>
      </c>
      <c r="N319" s="2">
        <v>630.19000000000005</v>
      </c>
      <c r="O319" s="2">
        <v>5118.6000000000004</v>
      </c>
      <c r="P319" s="2">
        <v>3781.14</v>
      </c>
      <c r="Q319" s="2">
        <v>1337.46</v>
      </c>
      <c r="R319">
        <v>0</v>
      </c>
      <c r="S319" s="2" t="str">
        <f>TEXT(data[[#This Row],[Date]],"mmm yyyy")</f>
        <v>Sep 2025</v>
      </c>
      <c r="T319" s="8">
        <f>data[[#This Row],[Profit]]/data[[#This Row],[Revenue]]</f>
        <v>0.26129410385652324</v>
      </c>
    </row>
    <row r="320" spans="1:20" x14ac:dyDescent="0.3">
      <c r="A320">
        <v>10318</v>
      </c>
      <c r="B320" t="s">
        <v>274</v>
      </c>
      <c r="C320" t="s">
        <v>609</v>
      </c>
      <c r="D320" t="s">
        <v>622</v>
      </c>
      <c r="E320" t="s">
        <v>626</v>
      </c>
      <c r="F320" t="s">
        <v>943</v>
      </c>
      <c r="G320" t="s">
        <v>1762</v>
      </c>
      <c r="H320" t="s">
        <v>1769</v>
      </c>
      <c r="I320" t="s">
        <v>1775</v>
      </c>
      <c r="J320" t="s">
        <v>1779</v>
      </c>
      <c r="K320">
        <v>20</v>
      </c>
      <c r="L320" s="2">
        <v>437</v>
      </c>
      <c r="M320">
        <v>0.2</v>
      </c>
      <c r="N320" s="2">
        <v>283.45999999999998</v>
      </c>
      <c r="O320" s="2">
        <v>6992</v>
      </c>
      <c r="P320" s="2">
        <v>5669.2</v>
      </c>
      <c r="Q320" s="2">
        <v>1322.8</v>
      </c>
      <c r="R320">
        <v>0</v>
      </c>
      <c r="S320" s="2" t="str">
        <f>TEXT(data[[#This Row],[Date]],"mmm yyyy")</f>
        <v>Dec 2025</v>
      </c>
      <c r="T320" s="8">
        <f>data[[#This Row],[Profit]]/data[[#This Row],[Revenue]]</f>
        <v>0.18918764302059496</v>
      </c>
    </row>
    <row r="321" spans="1:20" x14ac:dyDescent="0.3">
      <c r="A321">
        <v>10319</v>
      </c>
      <c r="B321" t="s">
        <v>128</v>
      </c>
      <c r="C321" t="s">
        <v>609</v>
      </c>
      <c r="D321" t="s">
        <v>613</v>
      </c>
      <c r="E321" t="s">
        <v>628</v>
      </c>
      <c r="F321" t="s">
        <v>944</v>
      </c>
      <c r="G321" t="s">
        <v>1761</v>
      </c>
      <c r="H321" t="s">
        <v>1768</v>
      </c>
      <c r="I321" t="s">
        <v>1774</v>
      </c>
      <c r="J321" t="s">
        <v>1778</v>
      </c>
      <c r="K321">
        <v>17</v>
      </c>
      <c r="L321" s="2">
        <v>991</v>
      </c>
      <c r="M321">
        <v>0.15</v>
      </c>
      <c r="N321" s="2">
        <v>547.22</v>
      </c>
      <c r="O321" s="2">
        <v>14319.95</v>
      </c>
      <c r="P321" s="2">
        <v>9302.74</v>
      </c>
      <c r="Q321" s="2">
        <v>5017.21</v>
      </c>
      <c r="R321">
        <v>0</v>
      </c>
      <c r="S321" s="2" t="str">
        <f>TEXT(data[[#This Row],[Date]],"mmm yyyy")</f>
        <v>Nov 2025</v>
      </c>
      <c r="T321" s="8">
        <f>data[[#This Row],[Profit]]/data[[#This Row],[Revenue]]</f>
        <v>0.35036505015729802</v>
      </c>
    </row>
    <row r="322" spans="1:20" x14ac:dyDescent="0.3">
      <c r="A322">
        <v>10320</v>
      </c>
      <c r="B322" t="s">
        <v>275</v>
      </c>
      <c r="C322" t="s">
        <v>609</v>
      </c>
      <c r="D322" t="s">
        <v>622</v>
      </c>
      <c r="E322" t="s">
        <v>629</v>
      </c>
      <c r="F322" t="s">
        <v>945</v>
      </c>
      <c r="G322" t="s">
        <v>1764</v>
      </c>
      <c r="H322" t="s">
        <v>1770</v>
      </c>
      <c r="I322" t="s">
        <v>1774</v>
      </c>
      <c r="J322" t="s">
        <v>1778</v>
      </c>
      <c r="K322">
        <v>4</v>
      </c>
      <c r="L322" s="2">
        <v>644</v>
      </c>
      <c r="M322">
        <v>0</v>
      </c>
      <c r="N322" s="2">
        <v>381.18</v>
      </c>
      <c r="O322" s="2">
        <v>2576</v>
      </c>
      <c r="P322" s="2">
        <v>1524.72</v>
      </c>
      <c r="Q322" s="2">
        <v>1051.28</v>
      </c>
      <c r="R322">
        <v>0</v>
      </c>
      <c r="S322" s="2" t="str">
        <f>TEXT(data[[#This Row],[Date]],"mmm yyyy")</f>
        <v>Nov 2024</v>
      </c>
      <c r="T322" s="8">
        <f>data[[#This Row],[Profit]]/data[[#This Row],[Revenue]]</f>
        <v>0.40810559006211178</v>
      </c>
    </row>
    <row r="323" spans="1:20" x14ac:dyDescent="0.3">
      <c r="A323">
        <v>10321</v>
      </c>
      <c r="B323" t="s">
        <v>235</v>
      </c>
      <c r="C323" t="s">
        <v>608</v>
      </c>
      <c r="D323" t="s">
        <v>614</v>
      </c>
      <c r="E323" t="s">
        <v>628</v>
      </c>
      <c r="F323" t="s">
        <v>946</v>
      </c>
      <c r="G323" t="s">
        <v>1763</v>
      </c>
      <c r="H323" t="s">
        <v>1768</v>
      </c>
      <c r="I323" t="s">
        <v>1774</v>
      </c>
      <c r="J323" t="s">
        <v>1777</v>
      </c>
      <c r="K323">
        <v>2</v>
      </c>
      <c r="L323" s="2">
        <v>876</v>
      </c>
      <c r="M323">
        <v>0</v>
      </c>
      <c r="N323" s="2">
        <v>587.54999999999995</v>
      </c>
      <c r="O323" s="2">
        <v>1752</v>
      </c>
      <c r="P323" s="2">
        <v>1175.0999999999999</v>
      </c>
      <c r="Q323" s="2">
        <v>576.9</v>
      </c>
      <c r="R323">
        <v>0</v>
      </c>
      <c r="S323" s="2" t="str">
        <f>TEXT(data[[#This Row],[Date]],"mmm yyyy")</f>
        <v>Jun 2025</v>
      </c>
      <c r="T323" s="8">
        <f>data[[#This Row],[Profit]]/data[[#This Row],[Revenue]]</f>
        <v>0.32928082191780822</v>
      </c>
    </row>
    <row r="324" spans="1:20" x14ac:dyDescent="0.3">
      <c r="A324">
        <v>10322</v>
      </c>
      <c r="B324" t="s">
        <v>276</v>
      </c>
      <c r="C324" t="s">
        <v>609</v>
      </c>
      <c r="D324" t="s">
        <v>622</v>
      </c>
      <c r="E324" t="s">
        <v>629</v>
      </c>
      <c r="F324" t="s">
        <v>947</v>
      </c>
      <c r="G324" t="s">
        <v>1762</v>
      </c>
      <c r="H324" t="s">
        <v>1768</v>
      </c>
      <c r="I324" t="s">
        <v>1774</v>
      </c>
      <c r="J324" t="s">
        <v>1777</v>
      </c>
      <c r="K324">
        <v>5</v>
      </c>
      <c r="L324" s="2">
        <v>831</v>
      </c>
      <c r="M324">
        <v>0.15</v>
      </c>
      <c r="N324" s="2">
        <v>581.92999999999995</v>
      </c>
      <c r="O324" s="2">
        <v>3531.75</v>
      </c>
      <c r="P324" s="2">
        <v>2909.65</v>
      </c>
      <c r="Q324" s="2">
        <v>622.1</v>
      </c>
      <c r="R324">
        <v>0</v>
      </c>
      <c r="S324" s="2" t="str">
        <f>TEXT(data[[#This Row],[Date]],"mmm yyyy")</f>
        <v>Jul 2024</v>
      </c>
      <c r="T324" s="8">
        <f>data[[#This Row],[Profit]]/data[[#This Row],[Revenue]]</f>
        <v>0.17614497062362852</v>
      </c>
    </row>
    <row r="325" spans="1:20" x14ac:dyDescent="0.3">
      <c r="A325">
        <v>10323</v>
      </c>
      <c r="B325" t="s">
        <v>42</v>
      </c>
      <c r="C325" t="s">
        <v>606</v>
      </c>
      <c r="D325" t="s">
        <v>625</v>
      </c>
      <c r="E325" t="s">
        <v>628</v>
      </c>
      <c r="F325" t="s">
        <v>948</v>
      </c>
      <c r="G325" t="s">
        <v>1762</v>
      </c>
      <c r="H325" t="s">
        <v>1772</v>
      </c>
      <c r="I325" t="s">
        <v>1773</v>
      </c>
      <c r="J325" t="s">
        <v>1776</v>
      </c>
      <c r="K325">
        <v>11</v>
      </c>
      <c r="L325" s="2">
        <v>529</v>
      </c>
      <c r="M325">
        <v>0.15</v>
      </c>
      <c r="N325" s="2">
        <v>277.02999999999997</v>
      </c>
      <c r="O325" s="2">
        <v>4946.1499999999996</v>
      </c>
      <c r="P325" s="2">
        <v>3047.33</v>
      </c>
      <c r="Q325" s="2">
        <v>1898.82</v>
      </c>
      <c r="R325">
        <v>1</v>
      </c>
      <c r="S325" s="2" t="str">
        <f>TEXT(data[[#This Row],[Date]],"mmm yyyy")</f>
        <v>Jun 2024</v>
      </c>
      <c r="T325" s="8">
        <f>data[[#This Row],[Profit]]/data[[#This Row],[Revenue]]</f>
        <v>0.38389858779050373</v>
      </c>
    </row>
    <row r="326" spans="1:20" x14ac:dyDescent="0.3">
      <c r="A326">
        <v>10324</v>
      </c>
      <c r="B326" t="s">
        <v>68</v>
      </c>
      <c r="C326" t="s">
        <v>607</v>
      </c>
      <c r="D326" t="s">
        <v>624</v>
      </c>
      <c r="E326" t="s">
        <v>627</v>
      </c>
      <c r="F326" t="s">
        <v>949</v>
      </c>
      <c r="G326" t="s">
        <v>1761</v>
      </c>
      <c r="H326" t="s">
        <v>1772</v>
      </c>
      <c r="I326" t="s">
        <v>1774</v>
      </c>
      <c r="J326" t="s">
        <v>1777</v>
      </c>
      <c r="K326">
        <v>18</v>
      </c>
      <c r="L326" s="2">
        <v>736</v>
      </c>
      <c r="M326">
        <v>0.1</v>
      </c>
      <c r="N326" s="2">
        <v>537.45000000000005</v>
      </c>
      <c r="O326" s="2">
        <v>11923.2</v>
      </c>
      <c r="P326" s="2">
        <v>9674.1</v>
      </c>
      <c r="Q326" s="2">
        <v>2249.1</v>
      </c>
      <c r="R326">
        <v>0</v>
      </c>
      <c r="S326" s="2" t="str">
        <f>TEXT(data[[#This Row],[Date]],"mmm yyyy")</f>
        <v>Jan 2024</v>
      </c>
      <c r="T326" s="8">
        <f>data[[#This Row],[Profit]]/data[[#This Row],[Revenue]]</f>
        <v>0.18863224637681159</v>
      </c>
    </row>
    <row r="327" spans="1:20" x14ac:dyDescent="0.3">
      <c r="A327">
        <v>10325</v>
      </c>
      <c r="B327" t="s">
        <v>277</v>
      </c>
      <c r="C327" t="s">
        <v>609</v>
      </c>
      <c r="D327" t="s">
        <v>622</v>
      </c>
      <c r="E327" t="s">
        <v>627</v>
      </c>
      <c r="F327" t="s">
        <v>950</v>
      </c>
      <c r="G327" t="s">
        <v>1760</v>
      </c>
      <c r="H327" t="s">
        <v>1772</v>
      </c>
      <c r="I327" t="s">
        <v>1774</v>
      </c>
      <c r="J327" t="s">
        <v>1777</v>
      </c>
      <c r="K327">
        <v>11</v>
      </c>
      <c r="L327" s="2">
        <v>935</v>
      </c>
      <c r="M327">
        <v>0.1</v>
      </c>
      <c r="N327" s="2">
        <v>482.52</v>
      </c>
      <c r="O327" s="2">
        <v>9256.5</v>
      </c>
      <c r="P327" s="2">
        <v>5307.72</v>
      </c>
      <c r="Q327" s="2">
        <v>3948.78</v>
      </c>
      <c r="R327">
        <v>0</v>
      </c>
      <c r="S327" s="2" t="str">
        <f>TEXT(data[[#This Row],[Date]],"mmm yyyy")</f>
        <v>Apr 2025</v>
      </c>
      <c r="T327" s="8">
        <f>data[[#This Row],[Profit]]/data[[#This Row],[Revenue]]</f>
        <v>0.42659536541889487</v>
      </c>
    </row>
    <row r="328" spans="1:20" x14ac:dyDescent="0.3">
      <c r="A328">
        <v>10326</v>
      </c>
      <c r="B328" t="s">
        <v>278</v>
      </c>
      <c r="C328" t="s">
        <v>607</v>
      </c>
      <c r="D328" t="s">
        <v>624</v>
      </c>
      <c r="E328" t="s">
        <v>628</v>
      </c>
      <c r="F328" t="s">
        <v>951</v>
      </c>
      <c r="G328" t="s">
        <v>1765</v>
      </c>
      <c r="H328" t="s">
        <v>1770</v>
      </c>
      <c r="I328" t="s">
        <v>1774</v>
      </c>
      <c r="J328" t="s">
        <v>1779</v>
      </c>
      <c r="K328">
        <v>7</v>
      </c>
      <c r="L328" s="2">
        <v>617</v>
      </c>
      <c r="M328">
        <v>0.1</v>
      </c>
      <c r="N328" s="2">
        <v>424.97</v>
      </c>
      <c r="O328" s="2">
        <v>3887.1</v>
      </c>
      <c r="P328" s="2">
        <v>2974.79</v>
      </c>
      <c r="Q328" s="2">
        <v>912.31</v>
      </c>
      <c r="R328">
        <v>0</v>
      </c>
      <c r="S328" s="2" t="str">
        <f>TEXT(data[[#This Row],[Date]],"mmm yyyy")</f>
        <v>Sep 2024</v>
      </c>
      <c r="T328" s="8">
        <f>data[[#This Row],[Profit]]/data[[#This Row],[Revenue]]</f>
        <v>0.23470196290293535</v>
      </c>
    </row>
    <row r="329" spans="1:20" x14ac:dyDescent="0.3">
      <c r="A329">
        <v>10327</v>
      </c>
      <c r="B329" t="s">
        <v>198</v>
      </c>
      <c r="C329" t="s">
        <v>608</v>
      </c>
      <c r="D329" t="s">
        <v>612</v>
      </c>
      <c r="E329" t="s">
        <v>627</v>
      </c>
      <c r="F329" t="s">
        <v>952</v>
      </c>
      <c r="G329" t="s">
        <v>1765</v>
      </c>
      <c r="H329" t="s">
        <v>1767</v>
      </c>
      <c r="I329" t="s">
        <v>1774</v>
      </c>
      <c r="J329" t="s">
        <v>1776</v>
      </c>
      <c r="K329">
        <v>11</v>
      </c>
      <c r="L329" s="2">
        <v>143</v>
      </c>
      <c r="M329">
        <v>0.1</v>
      </c>
      <c r="N329" s="2">
        <v>105.84</v>
      </c>
      <c r="O329" s="2">
        <v>1415.7</v>
      </c>
      <c r="P329" s="2">
        <v>1164.24</v>
      </c>
      <c r="Q329" s="2">
        <v>251.46</v>
      </c>
      <c r="R329">
        <v>0</v>
      </c>
      <c r="S329" s="2" t="str">
        <f>TEXT(data[[#This Row],[Date]],"mmm yyyy")</f>
        <v>Dec 2025</v>
      </c>
      <c r="T329" s="8">
        <f>data[[#This Row],[Profit]]/data[[#This Row],[Revenue]]</f>
        <v>0.17762237762237762</v>
      </c>
    </row>
    <row r="330" spans="1:20" x14ac:dyDescent="0.3">
      <c r="A330">
        <v>10328</v>
      </c>
      <c r="B330" t="s">
        <v>279</v>
      </c>
      <c r="C330" t="s">
        <v>609</v>
      </c>
      <c r="D330" t="s">
        <v>619</v>
      </c>
      <c r="E330" t="s">
        <v>626</v>
      </c>
      <c r="F330" t="s">
        <v>721</v>
      </c>
      <c r="G330" t="s">
        <v>1761</v>
      </c>
      <c r="H330" t="s">
        <v>1772</v>
      </c>
      <c r="I330" t="s">
        <v>1774</v>
      </c>
      <c r="J330" t="s">
        <v>1779</v>
      </c>
      <c r="K330">
        <v>3</v>
      </c>
      <c r="L330" s="2">
        <v>579</v>
      </c>
      <c r="M330">
        <v>0</v>
      </c>
      <c r="N330" s="2">
        <v>367.04</v>
      </c>
      <c r="O330" s="2">
        <v>1737</v>
      </c>
      <c r="P330" s="2">
        <v>1101.1199999999999</v>
      </c>
      <c r="Q330" s="2">
        <v>635.88</v>
      </c>
      <c r="R330">
        <v>0</v>
      </c>
      <c r="S330" s="2" t="str">
        <f>TEXT(data[[#This Row],[Date]],"mmm yyyy")</f>
        <v>Jan 2025</v>
      </c>
      <c r="T330" s="8">
        <f>data[[#This Row],[Profit]]/data[[#This Row],[Revenue]]</f>
        <v>0.36607944732297065</v>
      </c>
    </row>
    <row r="331" spans="1:20" x14ac:dyDescent="0.3">
      <c r="A331">
        <v>10329</v>
      </c>
      <c r="B331" t="s">
        <v>280</v>
      </c>
      <c r="C331" t="s">
        <v>606</v>
      </c>
      <c r="D331" t="s">
        <v>616</v>
      </c>
      <c r="E331" t="s">
        <v>626</v>
      </c>
      <c r="F331" t="s">
        <v>953</v>
      </c>
      <c r="G331" t="s">
        <v>1766</v>
      </c>
      <c r="H331" t="s">
        <v>1771</v>
      </c>
      <c r="I331" t="s">
        <v>1775</v>
      </c>
      <c r="J331" t="s">
        <v>1777</v>
      </c>
      <c r="K331">
        <v>9</v>
      </c>
      <c r="L331" s="2">
        <v>351</v>
      </c>
      <c r="M331">
        <v>0.1</v>
      </c>
      <c r="N331" s="2">
        <v>210.14</v>
      </c>
      <c r="O331" s="2">
        <v>2843.1</v>
      </c>
      <c r="P331" s="2">
        <v>1891.26</v>
      </c>
      <c r="Q331" s="2">
        <v>951.84</v>
      </c>
      <c r="R331">
        <v>0</v>
      </c>
      <c r="S331" s="2" t="str">
        <f>TEXT(data[[#This Row],[Date]],"mmm yyyy")</f>
        <v>Mar 2025</v>
      </c>
      <c r="T331" s="8">
        <f>data[[#This Row],[Profit]]/data[[#This Row],[Revenue]]</f>
        <v>0.3347894903450459</v>
      </c>
    </row>
    <row r="332" spans="1:20" x14ac:dyDescent="0.3">
      <c r="A332">
        <v>10330</v>
      </c>
      <c r="B332" t="s">
        <v>281</v>
      </c>
      <c r="C332" t="s">
        <v>609</v>
      </c>
      <c r="D332" t="s">
        <v>619</v>
      </c>
      <c r="E332" t="s">
        <v>626</v>
      </c>
      <c r="F332" t="s">
        <v>954</v>
      </c>
      <c r="G332" t="s">
        <v>1761</v>
      </c>
      <c r="H332" t="s">
        <v>1771</v>
      </c>
      <c r="I332" t="s">
        <v>1773</v>
      </c>
      <c r="J332" t="s">
        <v>1777</v>
      </c>
      <c r="K332">
        <v>7</v>
      </c>
      <c r="L332" s="2">
        <v>354</v>
      </c>
      <c r="M332">
        <v>0.1</v>
      </c>
      <c r="N332" s="2">
        <v>236.36</v>
      </c>
      <c r="O332" s="2">
        <v>2230.1999999999998</v>
      </c>
      <c r="P332" s="2">
        <v>1654.52</v>
      </c>
      <c r="Q332" s="2">
        <v>575.67999999999995</v>
      </c>
      <c r="R332">
        <v>0</v>
      </c>
      <c r="S332" s="2" t="str">
        <f>TEXT(data[[#This Row],[Date]],"mmm yyyy")</f>
        <v>Oct 2025</v>
      </c>
      <c r="T332" s="8">
        <f>data[[#This Row],[Profit]]/data[[#This Row],[Revenue]]</f>
        <v>0.25812931575643439</v>
      </c>
    </row>
    <row r="333" spans="1:20" x14ac:dyDescent="0.3">
      <c r="A333">
        <v>10331</v>
      </c>
      <c r="B333" t="s">
        <v>91</v>
      </c>
      <c r="C333" t="s">
        <v>606</v>
      </c>
      <c r="D333" t="s">
        <v>625</v>
      </c>
      <c r="E333" t="s">
        <v>629</v>
      </c>
      <c r="F333" t="s">
        <v>955</v>
      </c>
      <c r="G333" t="s">
        <v>1759</v>
      </c>
      <c r="H333" t="s">
        <v>1771</v>
      </c>
      <c r="I333" t="s">
        <v>1773</v>
      </c>
      <c r="J333" t="s">
        <v>1776</v>
      </c>
      <c r="K333">
        <v>5</v>
      </c>
      <c r="L333" s="2">
        <v>323</v>
      </c>
      <c r="M333">
        <v>0.15</v>
      </c>
      <c r="N333" s="2">
        <v>169.34</v>
      </c>
      <c r="O333" s="2">
        <v>1372.75</v>
      </c>
      <c r="P333" s="2">
        <v>846.7</v>
      </c>
      <c r="Q333" s="2">
        <v>526.04999999999995</v>
      </c>
      <c r="R333">
        <v>0</v>
      </c>
      <c r="S333" s="2" t="str">
        <f>TEXT(data[[#This Row],[Date]],"mmm yyyy")</f>
        <v>Jan 2025</v>
      </c>
      <c r="T333" s="8">
        <f>data[[#This Row],[Profit]]/data[[#This Row],[Revenue]]</f>
        <v>0.38320888727007829</v>
      </c>
    </row>
    <row r="334" spans="1:20" x14ac:dyDescent="0.3">
      <c r="A334">
        <v>10332</v>
      </c>
      <c r="B334" t="s">
        <v>282</v>
      </c>
      <c r="C334" t="s">
        <v>606</v>
      </c>
      <c r="D334" t="s">
        <v>620</v>
      </c>
      <c r="E334" t="s">
        <v>629</v>
      </c>
      <c r="F334" t="s">
        <v>956</v>
      </c>
      <c r="G334" t="s">
        <v>1766</v>
      </c>
      <c r="H334" t="s">
        <v>1772</v>
      </c>
      <c r="I334" t="s">
        <v>1775</v>
      </c>
      <c r="J334" t="s">
        <v>1777</v>
      </c>
      <c r="K334">
        <v>12</v>
      </c>
      <c r="L334" s="2">
        <v>633</v>
      </c>
      <c r="M334">
        <v>0.1</v>
      </c>
      <c r="N334" s="2">
        <v>402.3</v>
      </c>
      <c r="O334" s="2">
        <v>6836.4</v>
      </c>
      <c r="P334" s="2">
        <v>4827.6000000000004</v>
      </c>
      <c r="Q334" s="2">
        <v>2008.8</v>
      </c>
      <c r="R334">
        <v>0</v>
      </c>
      <c r="S334" s="2" t="str">
        <f>TEXT(data[[#This Row],[Date]],"mmm yyyy")</f>
        <v>May 2024</v>
      </c>
      <c r="T334" s="8">
        <f>data[[#This Row],[Profit]]/data[[#This Row],[Revenue]]</f>
        <v>0.29383886255924174</v>
      </c>
    </row>
    <row r="335" spans="1:20" x14ac:dyDescent="0.3">
      <c r="A335">
        <v>10333</v>
      </c>
      <c r="B335" t="s">
        <v>283</v>
      </c>
      <c r="C335" t="s">
        <v>609</v>
      </c>
      <c r="D335" t="s">
        <v>613</v>
      </c>
      <c r="E335" t="s">
        <v>628</v>
      </c>
      <c r="F335" t="s">
        <v>957</v>
      </c>
      <c r="G335" t="s">
        <v>1759</v>
      </c>
      <c r="H335" t="s">
        <v>1771</v>
      </c>
      <c r="I335" t="s">
        <v>1774</v>
      </c>
      <c r="J335" t="s">
        <v>1779</v>
      </c>
      <c r="K335">
        <v>13</v>
      </c>
      <c r="L335" s="2">
        <v>446</v>
      </c>
      <c r="M335">
        <v>0</v>
      </c>
      <c r="N335" s="2">
        <v>247.97</v>
      </c>
      <c r="O335" s="2">
        <v>5798</v>
      </c>
      <c r="P335" s="2">
        <v>3223.61</v>
      </c>
      <c r="Q335" s="2">
        <v>2574.39</v>
      </c>
      <c r="R335">
        <v>0</v>
      </c>
      <c r="S335" s="2" t="str">
        <f>TEXT(data[[#This Row],[Date]],"mmm yyyy")</f>
        <v>Aug 2024</v>
      </c>
      <c r="T335" s="8">
        <f>data[[#This Row],[Profit]]/data[[#This Row],[Revenue]]</f>
        <v>0.44401345291479816</v>
      </c>
    </row>
    <row r="336" spans="1:20" x14ac:dyDescent="0.3">
      <c r="A336">
        <v>10334</v>
      </c>
      <c r="B336" t="s">
        <v>284</v>
      </c>
      <c r="C336" t="s">
        <v>606</v>
      </c>
      <c r="D336" t="s">
        <v>620</v>
      </c>
      <c r="E336" t="s">
        <v>628</v>
      </c>
      <c r="F336" t="s">
        <v>958</v>
      </c>
      <c r="G336" t="s">
        <v>1761</v>
      </c>
      <c r="H336" t="s">
        <v>1768</v>
      </c>
      <c r="I336" t="s">
        <v>1773</v>
      </c>
      <c r="J336" t="s">
        <v>1779</v>
      </c>
      <c r="K336">
        <v>13</v>
      </c>
      <c r="L336" s="2">
        <v>901</v>
      </c>
      <c r="M336">
        <v>0.1</v>
      </c>
      <c r="N336" s="2">
        <v>503.39</v>
      </c>
      <c r="O336" s="2">
        <v>10541.7</v>
      </c>
      <c r="P336" s="2">
        <v>6544.07</v>
      </c>
      <c r="Q336" s="2">
        <v>3997.63</v>
      </c>
      <c r="R336">
        <v>0</v>
      </c>
      <c r="S336" s="2" t="str">
        <f>TEXT(data[[#This Row],[Date]],"mmm yyyy")</f>
        <v>Apr 2025</v>
      </c>
      <c r="T336" s="8">
        <f>data[[#This Row],[Profit]]/data[[#This Row],[Revenue]]</f>
        <v>0.37922061906523613</v>
      </c>
    </row>
    <row r="337" spans="1:20" x14ac:dyDescent="0.3">
      <c r="A337">
        <v>10335</v>
      </c>
      <c r="B337" t="s">
        <v>285</v>
      </c>
      <c r="C337" t="s">
        <v>607</v>
      </c>
      <c r="D337" t="s">
        <v>624</v>
      </c>
      <c r="E337" t="s">
        <v>628</v>
      </c>
      <c r="F337" t="s">
        <v>959</v>
      </c>
      <c r="G337" t="s">
        <v>1761</v>
      </c>
      <c r="H337" t="s">
        <v>1767</v>
      </c>
      <c r="I337" t="s">
        <v>1773</v>
      </c>
      <c r="J337" t="s">
        <v>1776</v>
      </c>
      <c r="K337">
        <v>16</v>
      </c>
      <c r="L337" s="2">
        <v>110</v>
      </c>
      <c r="M337">
        <v>0.15</v>
      </c>
      <c r="N337" s="2">
        <v>80.38</v>
      </c>
      <c r="O337" s="2">
        <v>1496</v>
      </c>
      <c r="P337" s="2">
        <v>1286.08</v>
      </c>
      <c r="Q337" s="2">
        <v>209.92</v>
      </c>
      <c r="R337">
        <v>0</v>
      </c>
      <c r="S337" s="2" t="str">
        <f>TEXT(data[[#This Row],[Date]],"mmm yyyy")</f>
        <v>Mar 2025</v>
      </c>
      <c r="T337" s="8">
        <f>data[[#This Row],[Profit]]/data[[#This Row],[Revenue]]</f>
        <v>0.14032085561497326</v>
      </c>
    </row>
    <row r="338" spans="1:20" x14ac:dyDescent="0.3">
      <c r="A338">
        <v>10336</v>
      </c>
      <c r="B338" t="s">
        <v>286</v>
      </c>
      <c r="C338" t="s">
        <v>606</v>
      </c>
      <c r="D338" t="s">
        <v>625</v>
      </c>
      <c r="E338" t="s">
        <v>627</v>
      </c>
      <c r="F338" t="s">
        <v>960</v>
      </c>
      <c r="G338" t="s">
        <v>1759</v>
      </c>
      <c r="H338" t="s">
        <v>1767</v>
      </c>
      <c r="I338" t="s">
        <v>1774</v>
      </c>
      <c r="J338" t="s">
        <v>1779</v>
      </c>
      <c r="K338">
        <v>8</v>
      </c>
      <c r="L338" s="2">
        <v>200</v>
      </c>
      <c r="M338">
        <v>0.1</v>
      </c>
      <c r="N338" s="2">
        <v>127.74</v>
      </c>
      <c r="O338" s="2">
        <v>1440</v>
      </c>
      <c r="P338" s="2">
        <v>1021.92</v>
      </c>
      <c r="Q338" s="2">
        <v>418.08</v>
      </c>
      <c r="R338">
        <v>0</v>
      </c>
      <c r="S338" s="2" t="str">
        <f>TEXT(data[[#This Row],[Date]],"mmm yyyy")</f>
        <v>Jun 2025</v>
      </c>
      <c r="T338" s="8">
        <f>data[[#This Row],[Profit]]/data[[#This Row],[Revenue]]</f>
        <v>0.29033333333333333</v>
      </c>
    </row>
    <row r="339" spans="1:20" x14ac:dyDescent="0.3">
      <c r="A339">
        <v>10337</v>
      </c>
      <c r="B339" t="s">
        <v>287</v>
      </c>
      <c r="C339" t="s">
        <v>609</v>
      </c>
      <c r="D339" t="s">
        <v>622</v>
      </c>
      <c r="E339" t="s">
        <v>626</v>
      </c>
      <c r="F339" t="s">
        <v>910</v>
      </c>
      <c r="G339" t="s">
        <v>1764</v>
      </c>
      <c r="H339" t="s">
        <v>1767</v>
      </c>
      <c r="I339" t="s">
        <v>1775</v>
      </c>
      <c r="J339" t="s">
        <v>1779</v>
      </c>
      <c r="K339">
        <v>2</v>
      </c>
      <c r="L339" s="2">
        <v>214</v>
      </c>
      <c r="M339">
        <v>0.05</v>
      </c>
      <c r="N339" s="2">
        <v>134.9</v>
      </c>
      <c r="O339" s="2">
        <v>406.6</v>
      </c>
      <c r="P339" s="2">
        <v>269.8</v>
      </c>
      <c r="Q339" s="2">
        <v>136.80000000000001</v>
      </c>
      <c r="R339">
        <v>0</v>
      </c>
      <c r="S339" s="2" t="str">
        <f>TEXT(data[[#This Row],[Date]],"mmm yyyy")</f>
        <v>Aug 2024</v>
      </c>
      <c r="T339" s="8">
        <f>data[[#This Row],[Profit]]/data[[#This Row],[Revenue]]</f>
        <v>0.3364485981308411</v>
      </c>
    </row>
    <row r="340" spans="1:20" x14ac:dyDescent="0.3">
      <c r="A340">
        <v>10338</v>
      </c>
      <c r="B340" t="s">
        <v>208</v>
      </c>
      <c r="C340" t="s">
        <v>607</v>
      </c>
      <c r="D340" t="s">
        <v>621</v>
      </c>
      <c r="E340" t="s">
        <v>626</v>
      </c>
      <c r="F340" t="s">
        <v>961</v>
      </c>
      <c r="G340" t="s">
        <v>1764</v>
      </c>
      <c r="H340" t="s">
        <v>1768</v>
      </c>
      <c r="I340" t="s">
        <v>1775</v>
      </c>
      <c r="J340" t="s">
        <v>1777</v>
      </c>
      <c r="K340">
        <v>11</v>
      </c>
      <c r="L340" s="2">
        <v>1263</v>
      </c>
      <c r="M340">
        <v>0</v>
      </c>
      <c r="N340" s="2">
        <v>696.33</v>
      </c>
      <c r="O340" s="2">
        <v>13893</v>
      </c>
      <c r="P340" s="2">
        <v>7659.63</v>
      </c>
      <c r="Q340" s="2">
        <v>6233.37</v>
      </c>
      <c r="R340">
        <v>0</v>
      </c>
      <c r="S340" s="2" t="str">
        <f>TEXT(data[[#This Row],[Date]],"mmm yyyy")</f>
        <v>Mar 2024</v>
      </c>
      <c r="T340" s="8">
        <f>data[[#This Row],[Profit]]/data[[#This Row],[Revenue]]</f>
        <v>0.44866983372921615</v>
      </c>
    </row>
    <row r="341" spans="1:20" x14ac:dyDescent="0.3">
      <c r="A341">
        <v>10339</v>
      </c>
      <c r="B341" t="s">
        <v>288</v>
      </c>
      <c r="C341" t="s">
        <v>609</v>
      </c>
      <c r="D341" t="s">
        <v>622</v>
      </c>
      <c r="E341" t="s">
        <v>627</v>
      </c>
      <c r="F341" t="s">
        <v>962</v>
      </c>
      <c r="G341" t="s">
        <v>1765</v>
      </c>
      <c r="H341" t="s">
        <v>1770</v>
      </c>
      <c r="I341" t="s">
        <v>1775</v>
      </c>
      <c r="J341" t="s">
        <v>1778</v>
      </c>
      <c r="K341">
        <v>2</v>
      </c>
      <c r="L341" s="2">
        <v>881</v>
      </c>
      <c r="M341">
        <v>0.2</v>
      </c>
      <c r="N341" s="2">
        <v>583.32000000000005</v>
      </c>
      <c r="O341" s="2">
        <v>1409.6</v>
      </c>
      <c r="P341" s="2">
        <v>1166.6400000000001</v>
      </c>
      <c r="Q341" s="2">
        <v>242.96</v>
      </c>
      <c r="R341">
        <v>1</v>
      </c>
      <c r="S341" s="2" t="str">
        <f>TEXT(data[[#This Row],[Date]],"mmm yyyy")</f>
        <v>Nov 2025</v>
      </c>
      <c r="T341" s="8">
        <f>data[[#This Row],[Profit]]/data[[#This Row],[Revenue]]</f>
        <v>0.17236095346197505</v>
      </c>
    </row>
    <row r="342" spans="1:20" x14ac:dyDescent="0.3">
      <c r="A342">
        <v>10340</v>
      </c>
      <c r="B342" t="s">
        <v>289</v>
      </c>
      <c r="C342" t="s">
        <v>609</v>
      </c>
      <c r="D342" t="s">
        <v>623</v>
      </c>
      <c r="E342" t="s">
        <v>627</v>
      </c>
      <c r="F342" t="s">
        <v>963</v>
      </c>
      <c r="G342" t="s">
        <v>1762</v>
      </c>
      <c r="H342" t="s">
        <v>1770</v>
      </c>
      <c r="I342" t="s">
        <v>1775</v>
      </c>
      <c r="J342" t="s">
        <v>1777</v>
      </c>
      <c r="K342">
        <v>8</v>
      </c>
      <c r="L342" s="2">
        <v>586</v>
      </c>
      <c r="M342">
        <v>0</v>
      </c>
      <c r="N342" s="2">
        <v>380.6</v>
      </c>
      <c r="O342" s="2">
        <v>4688</v>
      </c>
      <c r="P342" s="2">
        <v>3044.8</v>
      </c>
      <c r="Q342" s="2">
        <v>1643.2</v>
      </c>
      <c r="R342">
        <v>0</v>
      </c>
      <c r="S342" s="2" t="str">
        <f>TEXT(data[[#This Row],[Date]],"mmm yyyy")</f>
        <v>Apr 2025</v>
      </c>
      <c r="T342" s="8">
        <f>data[[#This Row],[Profit]]/data[[#This Row],[Revenue]]</f>
        <v>0.35051194539249148</v>
      </c>
    </row>
    <row r="343" spans="1:20" x14ac:dyDescent="0.3">
      <c r="A343">
        <v>10341</v>
      </c>
      <c r="B343" t="s">
        <v>192</v>
      </c>
      <c r="C343" t="s">
        <v>608</v>
      </c>
      <c r="D343" t="s">
        <v>612</v>
      </c>
      <c r="E343" t="s">
        <v>627</v>
      </c>
      <c r="F343" t="s">
        <v>964</v>
      </c>
      <c r="G343" t="s">
        <v>1766</v>
      </c>
      <c r="H343" t="s">
        <v>1770</v>
      </c>
      <c r="I343" t="s">
        <v>1775</v>
      </c>
      <c r="J343" t="s">
        <v>1777</v>
      </c>
      <c r="K343">
        <v>19</v>
      </c>
      <c r="L343" s="2">
        <v>721</v>
      </c>
      <c r="M343">
        <v>0.05</v>
      </c>
      <c r="N343" s="2">
        <v>529.83000000000004</v>
      </c>
      <c r="O343" s="2">
        <v>13014.05</v>
      </c>
      <c r="P343" s="2">
        <v>10066.77</v>
      </c>
      <c r="Q343" s="2">
        <v>2947.28</v>
      </c>
      <c r="R343">
        <v>1</v>
      </c>
      <c r="S343" s="2" t="str">
        <f>TEXT(data[[#This Row],[Date]],"mmm yyyy")</f>
        <v>Jan 2024</v>
      </c>
      <c r="T343" s="8">
        <f>data[[#This Row],[Profit]]/data[[#This Row],[Revenue]]</f>
        <v>0.22646908533469598</v>
      </c>
    </row>
    <row r="344" spans="1:20" x14ac:dyDescent="0.3">
      <c r="A344">
        <v>10342</v>
      </c>
      <c r="B344" t="s">
        <v>76</v>
      </c>
      <c r="C344" t="s">
        <v>609</v>
      </c>
      <c r="D344" t="s">
        <v>619</v>
      </c>
      <c r="E344" t="s">
        <v>628</v>
      </c>
      <c r="F344" t="s">
        <v>965</v>
      </c>
      <c r="G344" t="s">
        <v>1762</v>
      </c>
      <c r="H344" t="s">
        <v>1772</v>
      </c>
      <c r="I344" t="s">
        <v>1775</v>
      </c>
      <c r="J344" t="s">
        <v>1778</v>
      </c>
      <c r="K344">
        <v>16</v>
      </c>
      <c r="L344" s="2">
        <v>1023</v>
      </c>
      <c r="M344">
        <v>0.05</v>
      </c>
      <c r="N344" s="2">
        <v>670.38</v>
      </c>
      <c r="O344" s="2">
        <v>15549.6</v>
      </c>
      <c r="P344" s="2">
        <v>10726.08</v>
      </c>
      <c r="Q344" s="2">
        <v>4823.5200000000004</v>
      </c>
      <c r="R344">
        <v>0</v>
      </c>
      <c r="S344" s="2" t="str">
        <f>TEXT(data[[#This Row],[Date]],"mmm yyyy")</f>
        <v>Jul 2024</v>
      </c>
      <c r="T344" s="8">
        <f>data[[#This Row],[Profit]]/data[[#This Row],[Revenue]]</f>
        <v>0.31020219169624946</v>
      </c>
    </row>
    <row r="345" spans="1:20" x14ac:dyDescent="0.3">
      <c r="A345">
        <v>10343</v>
      </c>
      <c r="B345" t="s">
        <v>290</v>
      </c>
      <c r="C345" t="s">
        <v>608</v>
      </c>
      <c r="D345" t="s">
        <v>612</v>
      </c>
      <c r="E345" t="s">
        <v>629</v>
      </c>
      <c r="F345" t="s">
        <v>966</v>
      </c>
      <c r="G345" t="s">
        <v>1759</v>
      </c>
      <c r="H345" t="s">
        <v>1768</v>
      </c>
      <c r="I345" t="s">
        <v>1773</v>
      </c>
      <c r="J345" t="s">
        <v>1777</v>
      </c>
      <c r="K345">
        <v>6</v>
      </c>
      <c r="L345" s="2">
        <v>1216</v>
      </c>
      <c r="M345">
        <v>0.1</v>
      </c>
      <c r="N345" s="2">
        <v>733.57</v>
      </c>
      <c r="O345" s="2">
        <v>6566.4</v>
      </c>
      <c r="P345" s="2">
        <v>4401.42</v>
      </c>
      <c r="Q345" s="2">
        <v>2164.98</v>
      </c>
      <c r="R345">
        <v>0</v>
      </c>
      <c r="S345" s="2" t="str">
        <f>TEXT(data[[#This Row],[Date]],"mmm yyyy")</f>
        <v>Aug 2025</v>
      </c>
      <c r="T345" s="8">
        <f>data[[#This Row],[Profit]]/data[[#This Row],[Revenue]]</f>
        <v>0.3297057748538012</v>
      </c>
    </row>
    <row r="346" spans="1:20" x14ac:dyDescent="0.3">
      <c r="A346">
        <v>10344</v>
      </c>
      <c r="B346" t="s">
        <v>291</v>
      </c>
      <c r="C346" t="s">
        <v>606</v>
      </c>
      <c r="D346" t="s">
        <v>616</v>
      </c>
      <c r="E346" t="s">
        <v>626</v>
      </c>
      <c r="F346" t="s">
        <v>967</v>
      </c>
      <c r="G346" t="s">
        <v>1763</v>
      </c>
      <c r="H346" t="s">
        <v>1767</v>
      </c>
      <c r="I346" t="s">
        <v>1773</v>
      </c>
      <c r="J346" t="s">
        <v>1777</v>
      </c>
      <c r="K346">
        <v>18</v>
      </c>
      <c r="L346" s="2">
        <v>223</v>
      </c>
      <c r="M346">
        <v>0.15</v>
      </c>
      <c r="N346" s="2">
        <v>119.18</v>
      </c>
      <c r="O346" s="2">
        <v>3411.9</v>
      </c>
      <c r="P346" s="2">
        <v>2145.2399999999998</v>
      </c>
      <c r="Q346" s="2">
        <v>1266.6600000000001</v>
      </c>
      <c r="R346">
        <v>0</v>
      </c>
      <c r="S346" s="2" t="str">
        <f>TEXT(data[[#This Row],[Date]],"mmm yyyy")</f>
        <v>Jul 2025</v>
      </c>
      <c r="T346" s="8">
        <f>data[[#This Row],[Profit]]/data[[#This Row],[Revenue]]</f>
        <v>0.37124769190187284</v>
      </c>
    </row>
    <row r="347" spans="1:20" x14ac:dyDescent="0.3">
      <c r="A347">
        <v>10345</v>
      </c>
      <c r="B347" t="s">
        <v>292</v>
      </c>
      <c r="C347" t="s">
        <v>608</v>
      </c>
      <c r="D347" t="s">
        <v>612</v>
      </c>
      <c r="E347" t="s">
        <v>629</v>
      </c>
      <c r="F347" t="s">
        <v>968</v>
      </c>
      <c r="G347" t="s">
        <v>1765</v>
      </c>
      <c r="H347" t="s">
        <v>1768</v>
      </c>
      <c r="I347" t="s">
        <v>1774</v>
      </c>
      <c r="J347" t="s">
        <v>1778</v>
      </c>
      <c r="K347">
        <v>8</v>
      </c>
      <c r="L347" s="2">
        <v>971</v>
      </c>
      <c r="M347">
        <v>0.15</v>
      </c>
      <c r="N347" s="2">
        <v>526.16</v>
      </c>
      <c r="O347" s="2">
        <v>6602.8</v>
      </c>
      <c r="P347" s="2">
        <v>4209.28</v>
      </c>
      <c r="Q347" s="2">
        <v>2393.52</v>
      </c>
      <c r="R347">
        <v>1</v>
      </c>
      <c r="S347" s="2" t="str">
        <f>TEXT(data[[#This Row],[Date]],"mmm yyyy")</f>
        <v>Feb 2025</v>
      </c>
      <c r="T347" s="8">
        <f>data[[#This Row],[Profit]]/data[[#This Row],[Revenue]]</f>
        <v>0.3625007572544981</v>
      </c>
    </row>
    <row r="348" spans="1:20" x14ac:dyDescent="0.3">
      <c r="A348">
        <v>10346</v>
      </c>
      <c r="B348" t="s">
        <v>293</v>
      </c>
      <c r="C348" t="s">
        <v>607</v>
      </c>
      <c r="D348" t="s">
        <v>624</v>
      </c>
      <c r="E348" t="s">
        <v>627</v>
      </c>
      <c r="F348" t="s">
        <v>969</v>
      </c>
      <c r="G348" t="s">
        <v>1763</v>
      </c>
      <c r="H348" t="s">
        <v>1768</v>
      </c>
      <c r="I348" t="s">
        <v>1773</v>
      </c>
      <c r="J348" t="s">
        <v>1779</v>
      </c>
      <c r="K348">
        <v>4</v>
      </c>
      <c r="L348" s="2">
        <v>1246</v>
      </c>
      <c r="M348">
        <v>0</v>
      </c>
      <c r="N348" s="2">
        <v>904.59</v>
      </c>
      <c r="O348" s="2">
        <v>4984</v>
      </c>
      <c r="P348" s="2">
        <v>3618.36</v>
      </c>
      <c r="Q348" s="2">
        <v>1365.64</v>
      </c>
      <c r="R348">
        <v>0</v>
      </c>
      <c r="S348" s="2" t="str">
        <f>TEXT(data[[#This Row],[Date]],"mmm yyyy")</f>
        <v>Oct 2024</v>
      </c>
      <c r="T348" s="8">
        <f>data[[#This Row],[Profit]]/data[[#This Row],[Revenue]]</f>
        <v>0.27400481540930982</v>
      </c>
    </row>
    <row r="349" spans="1:20" x14ac:dyDescent="0.3">
      <c r="A349">
        <v>10347</v>
      </c>
      <c r="B349" t="s">
        <v>294</v>
      </c>
      <c r="C349" t="s">
        <v>606</v>
      </c>
      <c r="D349" t="s">
        <v>620</v>
      </c>
      <c r="E349" t="s">
        <v>627</v>
      </c>
      <c r="F349" t="s">
        <v>970</v>
      </c>
      <c r="G349" t="s">
        <v>1761</v>
      </c>
      <c r="H349" t="s">
        <v>1767</v>
      </c>
      <c r="I349" t="s">
        <v>1774</v>
      </c>
      <c r="J349" t="s">
        <v>1778</v>
      </c>
      <c r="K349">
        <v>16</v>
      </c>
      <c r="L349" s="2">
        <v>142</v>
      </c>
      <c r="M349">
        <v>0.2</v>
      </c>
      <c r="N349" s="2">
        <v>91.81</v>
      </c>
      <c r="O349" s="2">
        <v>1817.6</v>
      </c>
      <c r="P349" s="2">
        <v>1468.96</v>
      </c>
      <c r="Q349" s="2">
        <v>348.64</v>
      </c>
      <c r="R349">
        <v>0</v>
      </c>
      <c r="S349" s="2" t="str">
        <f>TEXT(data[[#This Row],[Date]],"mmm yyyy")</f>
        <v>Jun 2025</v>
      </c>
      <c r="T349" s="8">
        <f>data[[#This Row],[Profit]]/data[[#This Row],[Revenue]]</f>
        <v>0.19181338028169015</v>
      </c>
    </row>
    <row r="350" spans="1:20" x14ac:dyDescent="0.3">
      <c r="A350">
        <v>10348</v>
      </c>
      <c r="B350" t="s">
        <v>295</v>
      </c>
      <c r="C350" t="s">
        <v>607</v>
      </c>
      <c r="D350" t="s">
        <v>621</v>
      </c>
      <c r="E350" t="s">
        <v>626</v>
      </c>
      <c r="F350" t="s">
        <v>971</v>
      </c>
      <c r="G350" t="s">
        <v>1764</v>
      </c>
      <c r="H350" t="s">
        <v>1770</v>
      </c>
      <c r="I350" t="s">
        <v>1773</v>
      </c>
      <c r="J350" t="s">
        <v>1778</v>
      </c>
      <c r="K350">
        <v>8</v>
      </c>
      <c r="L350" s="2">
        <v>661</v>
      </c>
      <c r="M350">
        <v>0.15</v>
      </c>
      <c r="N350" s="2">
        <v>391.03</v>
      </c>
      <c r="O350" s="2">
        <v>4494.8</v>
      </c>
      <c r="P350" s="2">
        <v>3128.24</v>
      </c>
      <c r="Q350" s="2">
        <v>1366.56</v>
      </c>
      <c r="R350">
        <v>0</v>
      </c>
      <c r="S350" s="2" t="str">
        <f>TEXT(data[[#This Row],[Date]],"mmm yyyy")</f>
        <v>Nov 2025</v>
      </c>
      <c r="T350" s="8">
        <f>data[[#This Row],[Profit]]/data[[#This Row],[Revenue]]</f>
        <v>0.30403132508676689</v>
      </c>
    </row>
    <row r="351" spans="1:20" x14ac:dyDescent="0.3">
      <c r="A351">
        <v>10349</v>
      </c>
      <c r="B351" t="s">
        <v>296</v>
      </c>
      <c r="C351" t="s">
        <v>609</v>
      </c>
      <c r="D351" t="s">
        <v>619</v>
      </c>
      <c r="E351" t="s">
        <v>626</v>
      </c>
      <c r="F351" t="s">
        <v>972</v>
      </c>
      <c r="G351" t="s">
        <v>1763</v>
      </c>
      <c r="H351" t="s">
        <v>1767</v>
      </c>
      <c r="I351" t="s">
        <v>1775</v>
      </c>
      <c r="J351" t="s">
        <v>1777</v>
      </c>
      <c r="K351">
        <v>6</v>
      </c>
      <c r="L351" s="2">
        <v>167</v>
      </c>
      <c r="M351">
        <v>0.15</v>
      </c>
      <c r="N351" s="2">
        <v>123.52</v>
      </c>
      <c r="O351" s="2">
        <v>851.7</v>
      </c>
      <c r="P351" s="2">
        <v>741.12</v>
      </c>
      <c r="Q351" s="2">
        <v>110.58</v>
      </c>
      <c r="R351">
        <v>0</v>
      </c>
      <c r="S351" s="2" t="str">
        <f>TEXT(data[[#This Row],[Date]],"mmm yyyy")</f>
        <v>Mar 2025</v>
      </c>
      <c r="T351" s="8">
        <f>data[[#This Row],[Profit]]/data[[#This Row],[Revenue]]</f>
        <v>0.12983444874955968</v>
      </c>
    </row>
    <row r="352" spans="1:20" x14ac:dyDescent="0.3">
      <c r="A352">
        <v>10350</v>
      </c>
      <c r="B352" t="s">
        <v>297</v>
      </c>
      <c r="C352" t="s">
        <v>608</v>
      </c>
      <c r="D352" t="s">
        <v>612</v>
      </c>
      <c r="E352" t="s">
        <v>627</v>
      </c>
      <c r="F352" t="s">
        <v>973</v>
      </c>
      <c r="G352" t="s">
        <v>1761</v>
      </c>
      <c r="H352" t="s">
        <v>1770</v>
      </c>
      <c r="I352" t="s">
        <v>1773</v>
      </c>
      <c r="J352" t="s">
        <v>1777</v>
      </c>
      <c r="K352">
        <v>13</v>
      </c>
      <c r="L352" s="2">
        <v>768</v>
      </c>
      <c r="M352">
        <v>0.15</v>
      </c>
      <c r="N352" s="2">
        <v>531.24</v>
      </c>
      <c r="O352" s="2">
        <v>8486.4</v>
      </c>
      <c r="P352" s="2">
        <v>6906.12</v>
      </c>
      <c r="Q352" s="2">
        <v>1580.28</v>
      </c>
      <c r="R352">
        <v>0</v>
      </c>
      <c r="S352" s="2" t="str">
        <f>TEXT(data[[#This Row],[Date]],"mmm yyyy")</f>
        <v>Aug 2024</v>
      </c>
      <c r="T352" s="8">
        <f>data[[#This Row],[Profit]]/data[[#This Row],[Revenue]]</f>
        <v>0.18621323529411765</v>
      </c>
    </row>
    <row r="353" spans="1:20" x14ac:dyDescent="0.3">
      <c r="A353">
        <v>10351</v>
      </c>
      <c r="B353" t="s">
        <v>298</v>
      </c>
      <c r="C353" t="s">
        <v>607</v>
      </c>
      <c r="D353" t="s">
        <v>611</v>
      </c>
      <c r="E353" t="s">
        <v>629</v>
      </c>
      <c r="F353" t="s">
        <v>974</v>
      </c>
      <c r="G353" t="s">
        <v>1763</v>
      </c>
      <c r="H353" t="s">
        <v>1770</v>
      </c>
      <c r="I353" t="s">
        <v>1775</v>
      </c>
      <c r="J353" t="s">
        <v>1777</v>
      </c>
      <c r="K353">
        <v>16</v>
      </c>
      <c r="L353" s="2">
        <v>479</v>
      </c>
      <c r="M353">
        <v>0.2</v>
      </c>
      <c r="N353" s="2">
        <v>293.88</v>
      </c>
      <c r="O353" s="2">
        <v>6131.2</v>
      </c>
      <c r="P353" s="2">
        <v>4702.08</v>
      </c>
      <c r="Q353" s="2">
        <v>1429.12</v>
      </c>
      <c r="R353">
        <v>0</v>
      </c>
      <c r="S353" s="2" t="str">
        <f>TEXT(data[[#This Row],[Date]],"mmm yyyy")</f>
        <v>Aug 2025</v>
      </c>
      <c r="T353" s="8">
        <f>data[[#This Row],[Profit]]/data[[#This Row],[Revenue]]</f>
        <v>0.23308977035490605</v>
      </c>
    </row>
    <row r="354" spans="1:20" x14ac:dyDescent="0.3">
      <c r="A354">
        <v>10352</v>
      </c>
      <c r="B354" t="s">
        <v>299</v>
      </c>
      <c r="C354" t="s">
        <v>607</v>
      </c>
      <c r="D354" t="s">
        <v>624</v>
      </c>
      <c r="E354" t="s">
        <v>627</v>
      </c>
      <c r="F354" t="s">
        <v>975</v>
      </c>
      <c r="G354" t="s">
        <v>1759</v>
      </c>
      <c r="H354" t="s">
        <v>1770</v>
      </c>
      <c r="I354" t="s">
        <v>1775</v>
      </c>
      <c r="J354" t="s">
        <v>1778</v>
      </c>
      <c r="K354">
        <v>13</v>
      </c>
      <c r="L354" s="2">
        <v>564</v>
      </c>
      <c r="M354">
        <v>0.1</v>
      </c>
      <c r="N354" s="2">
        <v>298.52</v>
      </c>
      <c r="O354" s="2">
        <v>6598.8</v>
      </c>
      <c r="P354" s="2">
        <v>3880.76</v>
      </c>
      <c r="Q354" s="2">
        <v>2718.04</v>
      </c>
      <c r="R354">
        <v>0</v>
      </c>
      <c r="S354" s="2" t="str">
        <f>TEXT(data[[#This Row],[Date]],"mmm yyyy")</f>
        <v>Jul 2025</v>
      </c>
      <c r="T354" s="8">
        <f>data[[#This Row],[Profit]]/data[[#This Row],[Revenue]]</f>
        <v>0.4118991331757289</v>
      </c>
    </row>
    <row r="355" spans="1:20" x14ac:dyDescent="0.3">
      <c r="A355">
        <v>10353</v>
      </c>
      <c r="B355" t="s">
        <v>300</v>
      </c>
      <c r="C355" t="s">
        <v>606</v>
      </c>
      <c r="D355" t="s">
        <v>610</v>
      </c>
      <c r="E355" t="s">
        <v>628</v>
      </c>
      <c r="F355" t="s">
        <v>976</v>
      </c>
      <c r="G355" t="s">
        <v>1760</v>
      </c>
      <c r="H355" t="s">
        <v>1768</v>
      </c>
      <c r="I355" t="s">
        <v>1773</v>
      </c>
      <c r="J355" t="s">
        <v>1776</v>
      </c>
      <c r="K355">
        <v>19</v>
      </c>
      <c r="L355" s="2">
        <v>1265</v>
      </c>
      <c r="M355">
        <v>0</v>
      </c>
      <c r="N355" s="2">
        <v>695.22</v>
      </c>
      <c r="O355" s="2">
        <v>24035</v>
      </c>
      <c r="P355" s="2">
        <v>13209.18</v>
      </c>
      <c r="Q355" s="2">
        <v>10825.82</v>
      </c>
      <c r="R355">
        <v>0</v>
      </c>
      <c r="S355" s="2" t="str">
        <f>TEXT(data[[#This Row],[Date]],"mmm yyyy")</f>
        <v>Sep 2025</v>
      </c>
      <c r="T355" s="8">
        <f>data[[#This Row],[Profit]]/data[[#This Row],[Revenue]]</f>
        <v>0.45041897233201578</v>
      </c>
    </row>
    <row r="356" spans="1:20" x14ac:dyDescent="0.3">
      <c r="A356">
        <v>10354</v>
      </c>
      <c r="B356" t="s">
        <v>108</v>
      </c>
      <c r="C356" t="s">
        <v>608</v>
      </c>
      <c r="D356" t="s">
        <v>614</v>
      </c>
      <c r="E356" t="s">
        <v>627</v>
      </c>
      <c r="F356" t="s">
        <v>977</v>
      </c>
      <c r="G356" t="s">
        <v>1760</v>
      </c>
      <c r="H356" t="s">
        <v>1770</v>
      </c>
      <c r="I356" t="s">
        <v>1773</v>
      </c>
      <c r="J356" t="s">
        <v>1776</v>
      </c>
      <c r="K356">
        <v>1</v>
      </c>
      <c r="L356" s="2">
        <v>654</v>
      </c>
      <c r="M356">
        <v>0.05</v>
      </c>
      <c r="N356" s="2">
        <v>364.6</v>
      </c>
      <c r="O356" s="2">
        <v>621.29999999999995</v>
      </c>
      <c r="P356" s="2">
        <v>364.6</v>
      </c>
      <c r="Q356" s="2">
        <v>256.7</v>
      </c>
      <c r="R356">
        <v>0</v>
      </c>
      <c r="S356" s="2" t="str">
        <f>TEXT(data[[#This Row],[Date]],"mmm yyyy")</f>
        <v>Dec 2025</v>
      </c>
      <c r="T356" s="8">
        <f>data[[#This Row],[Profit]]/data[[#This Row],[Revenue]]</f>
        <v>0.41316594237888299</v>
      </c>
    </row>
    <row r="357" spans="1:20" x14ac:dyDescent="0.3">
      <c r="A357">
        <v>10355</v>
      </c>
      <c r="B357" t="s">
        <v>158</v>
      </c>
      <c r="C357" t="s">
        <v>609</v>
      </c>
      <c r="D357" t="s">
        <v>613</v>
      </c>
      <c r="E357" t="s">
        <v>628</v>
      </c>
      <c r="F357" t="s">
        <v>978</v>
      </c>
      <c r="G357" t="s">
        <v>1762</v>
      </c>
      <c r="H357" t="s">
        <v>1771</v>
      </c>
      <c r="I357" t="s">
        <v>1775</v>
      </c>
      <c r="J357" t="s">
        <v>1776</v>
      </c>
      <c r="K357">
        <v>11</v>
      </c>
      <c r="L357" s="2">
        <v>540</v>
      </c>
      <c r="M357">
        <v>0</v>
      </c>
      <c r="N357" s="2">
        <v>340.51</v>
      </c>
      <c r="O357" s="2">
        <v>5940</v>
      </c>
      <c r="P357" s="2">
        <v>3745.61</v>
      </c>
      <c r="Q357" s="2">
        <v>2194.39</v>
      </c>
      <c r="R357">
        <v>0</v>
      </c>
      <c r="S357" s="2" t="str">
        <f>TEXT(data[[#This Row],[Date]],"mmm yyyy")</f>
        <v>Oct 2024</v>
      </c>
      <c r="T357" s="8">
        <f>data[[#This Row],[Profit]]/data[[#This Row],[Revenue]]</f>
        <v>0.36942592592592588</v>
      </c>
    </row>
    <row r="358" spans="1:20" x14ac:dyDescent="0.3">
      <c r="A358">
        <v>10356</v>
      </c>
      <c r="B358" t="s">
        <v>301</v>
      </c>
      <c r="C358" t="s">
        <v>609</v>
      </c>
      <c r="D358" t="s">
        <v>623</v>
      </c>
      <c r="E358" t="s">
        <v>629</v>
      </c>
      <c r="F358" t="s">
        <v>979</v>
      </c>
      <c r="G358" t="s">
        <v>1764</v>
      </c>
      <c r="H358" t="s">
        <v>1771</v>
      </c>
      <c r="I358" t="s">
        <v>1773</v>
      </c>
      <c r="J358" t="s">
        <v>1777</v>
      </c>
      <c r="K358">
        <v>3</v>
      </c>
      <c r="L358" s="2">
        <v>435</v>
      </c>
      <c r="M358">
        <v>0</v>
      </c>
      <c r="N358" s="2">
        <v>285.37</v>
      </c>
      <c r="O358" s="2">
        <v>1305</v>
      </c>
      <c r="P358" s="2">
        <v>856.11</v>
      </c>
      <c r="Q358" s="2">
        <v>448.89</v>
      </c>
      <c r="R358">
        <v>0</v>
      </c>
      <c r="S358" s="2" t="str">
        <f>TEXT(data[[#This Row],[Date]],"mmm yyyy")</f>
        <v>May 2024</v>
      </c>
      <c r="T358" s="8">
        <f>data[[#This Row],[Profit]]/data[[#This Row],[Revenue]]</f>
        <v>0.34397701149425286</v>
      </c>
    </row>
    <row r="359" spans="1:20" x14ac:dyDescent="0.3">
      <c r="A359">
        <v>10357</v>
      </c>
      <c r="B359" t="s">
        <v>302</v>
      </c>
      <c r="C359" t="s">
        <v>609</v>
      </c>
      <c r="D359" t="s">
        <v>613</v>
      </c>
      <c r="E359" t="s">
        <v>626</v>
      </c>
      <c r="F359" t="s">
        <v>980</v>
      </c>
      <c r="G359" t="s">
        <v>1761</v>
      </c>
      <c r="H359" t="s">
        <v>1770</v>
      </c>
      <c r="I359" t="s">
        <v>1773</v>
      </c>
      <c r="J359" t="s">
        <v>1777</v>
      </c>
      <c r="K359">
        <v>13</v>
      </c>
      <c r="L359" s="2">
        <v>832</v>
      </c>
      <c r="M359">
        <v>0.1</v>
      </c>
      <c r="N359" s="2">
        <v>565.14</v>
      </c>
      <c r="O359" s="2">
        <v>9734.4</v>
      </c>
      <c r="P359" s="2">
        <v>7346.82</v>
      </c>
      <c r="Q359" s="2">
        <v>2387.58</v>
      </c>
      <c r="R359">
        <v>0</v>
      </c>
      <c r="S359" s="2" t="str">
        <f>TEXT(data[[#This Row],[Date]],"mmm yyyy")</f>
        <v>Nov 2024</v>
      </c>
      <c r="T359" s="8">
        <f>data[[#This Row],[Profit]]/data[[#This Row],[Revenue]]</f>
        <v>0.24527243589743589</v>
      </c>
    </row>
    <row r="360" spans="1:20" x14ac:dyDescent="0.3">
      <c r="A360">
        <v>10358</v>
      </c>
      <c r="B360" t="s">
        <v>303</v>
      </c>
      <c r="C360" t="s">
        <v>608</v>
      </c>
      <c r="D360" t="s">
        <v>615</v>
      </c>
      <c r="E360" t="s">
        <v>628</v>
      </c>
      <c r="F360" t="s">
        <v>981</v>
      </c>
      <c r="G360" t="s">
        <v>1760</v>
      </c>
      <c r="H360" t="s">
        <v>1767</v>
      </c>
      <c r="I360" t="s">
        <v>1773</v>
      </c>
      <c r="J360" t="s">
        <v>1777</v>
      </c>
      <c r="K360">
        <v>8</v>
      </c>
      <c r="L360" s="2">
        <v>282</v>
      </c>
      <c r="M360">
        <v>0.2</v>
      </c>
      <c r="N360" s="2">
        <v>147.58000000000001</v>
      </c>
      <c r="O360" s="2">
        <v>1804.8</v>
      </c>
      <c r="P360" s="2">
        <v>1180.6400000000001</v>
      </c>
      <c r="Q360" s="2">
        <v>624.16</v>
      </c>
      <c r="R360">
        <v>1</v>
      </c>
      <c r="S360" s="2" t="str">
        <f>TEXT(data[[#This Row],[Date]],"mmm yyyy")</f>
        <v>Aug 2025</v>
      </c>
      <c r="T360" s="8">
        <f>data[[#This Row],[Profit]]/data[[#This Row],[Revenue]]</f>
        <v>0.34583333333333333</v>
      </c>
    </row>
    <row r="361" spans="1:20" x14ac:dyDescent="0.3">
      <c r="A361">
        <v>10359</v>
      </c>
      <c r="B361" t="s">
        <v>240</v>
      </c>
      <c r="C361" t="s">
        <v>609</v>
      </c>
      <c r="D361" t="s">
        <v>619</v>
      </c>
      <c r="E361" t="s">
        <v>626</v>
      </c>
      <c r="F361" t="s">
        <v>982</v>
      </c>
      <c r="G361" t="s">
        <v>1760</v>
      </c>
      <c r="H361" t="s">
        <v>1771</v>
      </c>
      <c r="I361" t="s">
        <v>1773</v>
      </c>
      <c r="J361" t="s">
        <v>1778</v>
      </c>
      <c r="K361">
        <v>9</v>
      </c>
      <c r="L361" s="2">
        <v>684</v>
      </c>
      <c r="M361">
        <v>0.2</v>
      </c>
      <c r="N361" s="2">
        <v>414.41</v>
      </c>
      <c r="O361" s="2">
        <v>4924.8</v>
      </c>
      <c r="P361" s="2">
        <v>3729.69</v>
      </c>
      <c r="Q361" s="2">
        <v>1195.1099999999999</v>
      </c>
      <c r="R361">
        <v>0</v>
      </c>
      <c r="S361" s="2" t="str">
        <f>TEXT(data[[#This Row],[Date]],"mmm yyyy")</f>
        <v>Feb 2024</v>
      </c>
      <c r="T361" s="8">
        <f>data[[#This Row],[Profit]]/data[[#This Row],[Revenue]]</f>
        <v>0.24267178362573097</v>
      </c>
    </row>
    <row r="362" spans="1:20" x14ac:dyDescent="0.3">
      <c r="A362">
        <v>10360</v>
      </c>
      <c r="B362" t="s">
        <v>301</v>
      </c>
      <c r="C362" t="s">
        <v>608</v>
      </c>
      <c r="D362" t="s">
        <v>615</v>
      </c>
      <c r="E362" t="s">
        <v>627</v>
      </c>
      <c r="F362" t="s">
        <v>983</v>
      </c>
      <c r="G362" t="s">
        <v>1759</v>
      </c>
      <c r="H362" t="s">
        <v>1769</v>
      </c>
      <c r="I362" t="s">
        <v>1775</v>
      </c>
      <c r="J362" t="s">
        <v>1778</v>
      </c>
      <c r="K362">
        <v>6</v>
      </c>
      <c r="L362" s="2">
        <v>248</v>
      </c>
      <c r="M362">
        <v>0.05</v>
      </c>
      <c r="N362" s="2">
        <v>185.15</v>
      </c>
      <c r="O362" s="2">
        <v>1413.6</v>
      </c>
      <c r="P362" s="2">
        <v>1110.9000000000001</v>
      </c>
      <c r="Q362" s="2">
        <v>302.7</v>
      </c>
      <c r="R362">
        <v>0</v>
      </c>
      <c r="S362" s="2" t="str">
        <f>TEXT(data[[#This Row],[Date]],"mmm yyyy")</f>
        <v>May 2024</v>
      </c>
      <c r="T362" s="8">
        <f>data[[#This Row],[Profit]]/data[[#This Row],[Revenue]]</f>
        <v>0.21413412563667233</v>
      </c>
    </row>
    <row r="363" spans="1:20" x14ac:dyDescent="0.3">
      <c r="A363">
        <v>10361</v>
      </c>
      <c r="B363" t="s">
        <v>195</v>
      </c>
      <c r="C363" t="s">
        <v>606</v>
      </c>
      <c r="D363" t="s">
        <v>616</v>
      </c>
      <c r="E363" t="s">
        <v>629</v>
      </c>
      <c r="F363" t="s">
        <v>984</v>
      </c>
      <c r="G363" t="s">
        <v>1766</v>
      </c>
      <c r="H363" t="s">
        <v>1772</v>
      </c>
      <c r="I363" t="s">
        <v>1774</v>
      </c>
      <c r="J363" t="s">
        <v>1777</v>
      </c>
      <c r="K363">
        <v>10</v>
      </c>
      <c r="L363" s="2">
        <v>1035</v>
      </c>
      <c r="M363">
        <v>0</v>
      </c>
      <c r="N363" s="2">
        <v>717.94</v>
      </c>
      <c r="O363" s="2">
        <v>10350</v>
      </c>
      <c r="P363" s="2">
        <v>7179.4</v>
      </c>
      <c r="Q363" s="2">
        <v>3170.6</v>
      </c>
      <c r="R363">
        <v>0</v>
      </c>
      <c r="S363" s="2" t="str">
        <f>TEXT(data[[#This Row],[Date]],"mmm yyyy")</f>
        <v>Apr 2024</v>
      </c>
      <c r="T363" s="8">
        <f>data[[#This Row],[Profit]]/data[[#This Row],[Revenue]]</f>
        <v>0.30633816425120775</v>
      </c>
    </row>
    <row r="364" spans="1:20" x14ac:dyDescent="0.3">
      <c r="A364">
        <v>10362</v>
      </c>
      <c r="B364" t="s">
        <v>133</v>
      </c>
      <c r="C364" t="s">
        <v>608</v>
      </c>
      <c r="D364" t="s">
        <v>618</v>
      </c>
      <c r="E364" t="s">
        <v>629</v>
      </c>
      <c r="F364" t="s">
        <v>985</v>
      </c>
      <c r="G364" t="s">
        <v>1762</v>
      </c>
      <c r="H364" t="s">
        <v>1770</v>
      </c>
      <c r="I364" t="s">
        <v>1773</v>
      </c>
      <c r="J364" t="s">
        <v>1776</v>
      </c>
      <c r="K364">
        <v>15</v>
      </c>
      <c r="L364" s="2">
        <v>651</v>
      </c>
      <c r="M364">
        <v>0</v>
      </c>
      <c r="N364" s="2">
        <v>357.68</v>
      </c>
      <c r="O364" s="2">
        <v>9765</v>
      </c>
      <c r="P364" s="2">
        <v>5365.2</v>
      </c>
      <c r="Q364" s="2">
        <v>4399.8</v>
      </c>
      <c r="R364">
        <v>0</v>
      </c>
      <c r="S364" s="2" t="str">
        <f>TEXT(data[[#This Row],[Date]],"mmm yyyy")</f>
        <v>Jun 2025</v>
      </c>
      <c r="T364" s="8">
        <f>data[[#This Row],[Profit]]/data[[#This Row],[Revenue]]</f>
        <v>0.45056835637480802</v>
      </c>
    </row>
    <row r="365" spans="1:20" x14ac:dyDescent="0.3">
      <c r="A365">
        <v>10363</v>
      </c>
      <c r="B365" t="s">
        <v>289</v>
      </c>
      <c r="C365" t="s">
        <v>609</v>
      </c>
      <c r="D365" t="s">
        <v>619</v>
      </c>
      <c r="E365" t="s">
        <v>629</v>
      </c>
      <c r="F365" t="s">
        <v>986</v>
      </c>
      <c r="G365" t="s">
        <v>1763</v>
      </c>
      <c r="H365" t="s">
        <v>1767</v>
      </c>
      <c r="I365" t="s">
        <v>1774</v>
      </c>
      <c r="J365" t="s">
        <v>1778</v>
      </c>
      <c r="K365">
        <v>3</v>
      </c>
      <c r="L365" s="2">
        <v>203</v>
      </c>
      <c r="M365">
        <v>0.1</v>
      </c>
      <c r="N365" s="2">
        <v>142.28</v>
      </c>
      <c r="O365" s="2">
        <v>548.1</v>
      </c>
      <c r="P365" s="2">
        <v>426.84</v>
      </c>
      <c r="Q365" s="2">
        <v>121.26</v>
      </c>
      <c r="R365">
        <v>0</v>
      </c>
      <c r="S365" s="2" t="str">
        <f>TEXT(data[[#This Row],[Date]],"mmm yyyy")</f>
        <v>Apr 2025</v>
      </c>
      <c r="T365" s="8">
        <f>data[[#This Row],[Profit]]/data[[#This Row],[Revenue]]</f>
        <v>0.22123700054734538</v>
      </c>
    </row>
    <row r="366" spans="1:20" x14ac:dyDescent="0.3">
      <c r="A366">
        <v>10364</v>
      </c>
      <c r="B366" t="s">
        <v>304</v>
      </c>
      <c r="C366" t="s">
        <v>607</v>
      </c>
      <c r="D366" t="s">
        <v>617</v>
      </c>
      <c r="E366" t="s">
        <v>626</v>
      </c>
      <c r="F366" t="s">
        <v>987</v>
      </c>
      <c r="G366" t="s">
        <v>1761</v>
      </c>
      <c r="H366" t="s">
        <v>1769</v>
      </c>
      <c r="I366" t="s">
        <v>1775</v>
      </c>
      <c r="J366" t="s">
        <v>1776</v>
      </c>
      <c r="K366">
        <v>4</v>
      </c>
      <c r="L366" s="2">
        <v>176</v>
      </c>
      <c r="M366">
        <v>0.15</v>
      </c>
      <c r="N366" s="2">
        <v>91.87</v>
      </c>
      <c r="O366" s="2">
        <v>598.4</v>
      </c>
      <c r="P366" s="2">
        <v>367.48</v>
      </c>
      <c r="Q366" s="2">
        <v>230.92</v>
      </c>
      <c r="R366">
        <v>0</v>
      </c>
      <c r="S366" s="2" t="str">
        <f>TEXT(data[[#This Row],[Date]],"mmm yyyy")</f>
        <v>May 2024</v>
      </c>
      <c r="T366" s="8">
        <f>data[[#This Row],[Profit]]/data[[#This Row],[Revenue]]</f>
        <v>0.38589572192513366</v>
      </c>
    </row>
    <row r="367" spans="1:20" x14ac:dyDescent="0.3">
      <c r="A367">
        <v>10365</v>
      </c>
      <c r="B367" t="s">
        <v>305</v>
      </c>
      <c r="C367" t="s">
        <v>606</v>
      </c>
      <c r="D367" t="s">
        <v>620</v>
      </c>
      <c r="E367" t="s">
        <v>626</v>
      </c>
      <c r="F367" t="s">
        <v>988</v>
      </c>
      <c r="G367" t="s">
        <v>1760</v>
      </c>
      <c r="H367" t="s">
        <v>1770</v>
      </c>
      <c r="I367" t="s">
        <v>1775</v>
      </c>
      <c r="J367" t="s">
        <v>1777</v>
      </c>
      <c r="K367">
        <v>14</v>
      </c>
      <c r="L367" s="2">
        <v>748</v>
      </c>
      <c r="M367">
        <v>0.2</v>
      </c>
      <c r="N367" s="2">
        <v>390.03</v>
      </c>
      <c r="O367" s="2">
        <v>8377.6</v>
      </c>
      <c r="P367" s="2">
        <v>5460.42</v>
      </c>
      <c r="Q367" s="2">
        <v>2917.18</v>
      </c>
      <c r="R367">
        <v>1</v>
      </c>
      <c r="S367" s="2" t="str">
        <f>TEXT(data[[#This Row],[Date]],"mmm yyyy")</f>
        <v>Dec 2025</v>
      </c>
      <c r="T367" s="8">
        <f>data[[#This Row],[Profit]]/data[[#This Row],[Revenue]]</f>
        <v>0.34821189839572186</v>
      </c>
    </row>
    <row r="368" spans="1:20" x14ac:dyDescent="0.3">
      <c r="A368">
        <v>10366</v>
      </c>
      <c r="B368" t="s">
        <v>306</v>
      </c>
      <c r="C368" t="s">
        <v>609</v>
      </c>
      <c r="D368" t="s">
        <v>622</v>
      </c>
      <c r="E368" t="s">
        <v>627</v>
      </c>
      <c r="F368" t="s">
        <v>989</v>
      </c>
      <c r="G368" t="s">
        <v>1763</v>
      </c>
      <c r="H368" t="s">
        <v>1772</v>
      </c>
      <c r="I368" t="s">
        <v>1774</v>
      </c>
      <c r="J368" t="s">
        <v>1778</v>
      </c>
      <c r="K368">
        <v>18</v>
      </c>
      <c r="L368" s="2">
        <v>667</v>
      </c>
      <c r="M368">
        <v>0.2</v>
      </c>
      <c r="N368" s="2">
        <v>472.42</v>
      </c>
      <c r="O368" s="2">
        <v>9604.7999999999993</v>
      </c>
      <c r="P368" s="2">
        <v>8503.56</v>
      </c>
      <c r="Q368" s="2">
        <v>1101.24</v>
      </c>
      <c r="R368">
        <v>0</v>
      </c>
      <c r="S368" s="2" t="str">
        <f>TEXT(data[[#This Row],[Date]],"mmm yyyy")</f>
        <v>Sep 2024</v>
      </c>
      <c r="T368" s="8">
        <f>data[[#This Row],[Profit]]/data[[#This Row],[Revenue]]</f>
        <v>0.11465517241379311</v>
      </c>
    </row>
    <row r="369" spans="1:20" x14ac:dyDescent="0.3">
      <c r="A369">
        <v>10367</v>
      </c>
      <c r="B369" t="s">
        <v>57</v>
      </c>
      <c r="C369" t="s">
        <v>606</v>
      </c>
      <c r="D369" t="s">
        <v>620</v>
      </c>
      <c r="E369" t="s">
        <v>627</v>
      </c>
      <c r="F369" t="s">
        <v>990</v>
      </c>
      <c r="G369" t="s">
        <v>1762</v>
      </c>
      <c r="H369" t="s">
        <v>1771</v>
      </c>
      <c r="I369" t="s">
        <v>1775</v>
      </c>
      <c r="J369" t="s">
        <v>1779</v>
      </c>
      <c r="K369">
        <v>18</v>
      </c>
      <c r="L369" s="2">
        <v>534</v>
      </c>
      <c r="M369">
        <v>0</v>
      </c>
      <c r="N369" s="2">
        <v>279.24</v>
      </c>
      <c r="O369" s="2">
        <v>9612</v>
      </c>
      <c r="P369" s="2">
        <v>5026.32</v>
      </c>
      <c r="Q369" s="2">
        <v>4585.68</v>
      </c>
      <c r="R369">
        <v>1</v>
      </c>
      <c r="S369" s="2" t="str">
        <f>TEXT(data[[#This Row],[Date]],"mmm yyyy")</f>
        <v>Apr 2025</v>
      </c>
      <c r="T369" s="8">
        <f>data[[#This Row],[Profit]]/data[[#This Row],[Revenue]]</f>
        <v>0.47707865168539326</v>
      </c>
    </row>
    <row r="370" spans="1:20" x14ac:dyDescent="0.3">
      <c r="A370">
        <v>10368</v>
      </c>
      <c r="B370" t="s">
        <v>80</v>
      </c>
      <c r="C370" t="s">
        <v>608</v>
      </c>
      <c r="D370" t="s">
        <v>618</v>
      </c>
      <c r="E370" t="s">
        <v>626</v>
      </c>
      <c r="F370" t="s">
        <v>991</v>
      </c>
      <c r="G370" t="s">
        <v>1764</v>
      </c>
      <c r="H370" t="s">
        <v>1770</v>
      </c>
      <c r="I370" t="s">
        <v>1774</v>
      </c>
      <c r="J370" t="s">
        <v>1777</v>
      </c>
      <c r="K370">
        <v>16</v>
      </c>
      <c r="L370" s="2">
        <v>598</v>
      </c>
      <c r="M370">
        <v>0</v>
      </c>
      <c r="N370" s="2">
        <v>428.68</v>
      </c>
      <c r="O370" s="2">
        <v>9568</v>
      </c>
      <c r="P370" s="2">
        <v>6858.88</v>
      </c>
      <c r="Q370" s="2">
        <v>2709.12</v>
      </c>
      <c r="R370">
        <v>0</v>
      </c>
      <c r="S370" s="2" t="str">
        <f>TEXT(data[[#This Row],[Date]],"mmm yyyy")</f>
        <v>Sep 2024</v>
      </c>
      <c r="T370" s="8">
        <f>data[[#This Row],[Profit]]/data[[#This Row],[Revenue]]</f>
        <v>0.28314381270903011</v>
      </c>
    </row>
    <row r="371" spans="1:20" x14ac:dyDescent="0.3">
      <c r="A371">
        <v>10369</v>
      </c>
      <c r="B371" t="s">
        <v>307</v>
      </c>
      <c r="C371" t="s">
        <v>606</v>
      </c>
      <c r="D371" t="s">
        <v>625</v>
      </c>
      <c r="E371" t="s">
        <v>627</v>
      </c>
      <c r="F371" t="s">
        <v>992</v>
      </c>
      <c r="G371" t="s">
        <v>1760</v>
      </c>
      <c r="H371" t="s">
        <v>1771</v>
      </c>
      <c r="I371" t="s">
        <v>1775</v>
      </c>
      <c r="J371" t="s">
        <v>1776</v>
      </c>
      <c r="K371">
        <v>11</v>
      </c>
      <c r="L371" s="2">
        <v>673</v>
      </c>
      <c r="M371">
        <v>0.05</v>
      </c>
      <c r="N371" s="2">
        <v>447.49</v>
      </c>
      <c r="O371" s="2">
        <v>7032.85</v>
      </c>
      <c r="P371" s="2">
        <v>4922.3900000000003</v>
      </c>
      <c r="Q371" s="2">
        <v>2110.46</v>
      </c>
      <c r="R371">
        <v>0</v>
      </c>
      <c r="S371" s="2" t="str">
        <f>TEXT(data[[#This Row],[Date]],"mmm yyyy")</f>
        <v>Jan 2024</v>
      </c>
      <c r="T371" s="8">
        <f>data[[#This Row],[Profit]]/data[[#This Row],[Revenue]]</f>
        <v>0.30008602486900759</v>
      </c>
    </row>
    <row r="372" spans="1:20" x14ac:dyDescent="0.3">
      <c r="A372">
        <v>10370</v>
      </c>
      <c r="B372" t="s">
        <v>308</v>
      </c>
      <c r="C372" t="s">
        <v>609</v>
      </c>
      <c r="D372" t="s">
        <v>623</v>
      </c>
      <c r="E372" t="s">
        <v>628</v>
      </c>
      <c r="F372" t="s">
        <v>993</v>
      </c>
      <c r="G372" t="s">
        <v>1761</v>
      </c>
      <c r="H372" t="s">
        <v>1771</v>
      </c>
      <c r="I372" t="s">
        <v>1773</v>
      </c>
      <c r="J372" t="s">
        <v>1776</v>
      </c>
      <c r="K372">
        <v>9</v>
      </c>
      <c r="L372" s="2">
        <v>462</v>
      </c>
      <c r="M372">
        <v>0.1</v>
      </c>
      <c r="N372" s="2">
        <v>265.83</v>
      </c>
      <c r="O372" s="2">
        <v>3742.2</v>
      </c>
      <c r="P372" s="2">
        <v>2392.4699999999998</v>
      </c>
      <c r="Q372" s="2">
        <v>1349.73</v>
      </c>
      <c r="R372">
        <v>0</v>
      </c>
      <c r="S372" s="2" t="str">
        <f>TEXT(data[[#This Row],[Date]],"mmm yyyy")</f>
        <v>Feb 2025</v>
      </c>
      <c r="T372" s="8">
        <f>data[[#This Row],[Profit]]/data[[#This Row],[Revenue]]</f>
        <v>0.36067821067821071</v>
      </c>
    </row>
    <row r="373" spans="1:20" x14ac:dyDescent="0.3">
      <c r="A373">
        <v>10371</v>
      </c>
      <c r="B373" t="s">
        <v>96</v>
      </c>
      <c r="C373" t="s">
        <v>607</v>
      </c>
      <c r="D373" t="s">
        <v>621</v>
      </c>
      <c r="E373" t="s">
        <v>629</v>
      </c>
      <c r="F373" t="s">
        <v>994</v>
      </c>
      <c r="G373" t="s">
        <v>1763</v>
      </c>
      <c r="H373" t="s">
        <v>1770</v>
      </c>
      <c r="I373" t="s">
        <v>1775</v>
      </c>
      <c r="J373" t="s">
        <v>1777</v>
      </c>
      <c r="K373">
        <v>6</v>
      </c>
      <c r="L373" s="2">
        <v>453</v>
      </c>
      <c r="M373">
        <v>0.05</v>
      </c>
      <c r="N373" s="2">
        <v>318.57</v>
      </c>
      <c r="O373" s="2">
        <v>2582.1</v>
      </c>
      <c r="P373" s="2">
        <v>1911.42</v>
      </c>
      <c r="Q373" s="2">
        <v>670.68</v>
      </c>
      <c r="R373">
        <v>0</v>
      </c>
      <c r="S373" s="2" t="str">
        <f>TEXT(data[[#This Row],[Date]],"mmm yyyy")</f>
        <v>May 2025</v>
      </c>
      <c r="T373" s="8">
        <f>data[[#This Row],[Profit]]/data[[#This Row],[Revenue]]</f>
        <v>0.25974207040780761</v>
      </c>
    </row>
    <row r="374" spans="1:20" x14ac:dyDescent="0.3">
      <c r="A374">
        <v>10372</v>
      </c>
      <c r="B374" t="s">
        <v>295</v>
      </c>
      <c r="C374" t="s">
        <v>608</v>
      </c>
      <c r="D374" t="s">
        <v>612</v>
      </c>
      <c r="E374" t="s">
        <v>626</v>
      </c>
      <c r="F374" t="s">
        <v>995</v>
      </c>
      <c r="G374" t="s">
        <v>1764</v>
      </c>
      <c r="H374" t="s">
        <v>1770</v>
      </c>
      <c r="I374" t="s">
        <v>1775</v>
      </c>
      <c r="J374" t="s">
        <v>1779</v>
      </c>
      <c r="K374">
        <v>12</v>
      </c>
      <c r="L374" s="2">
        <v>456</v>
      </c>
      <c r="M374">
        <v>0.05</v>
      </c>
      <c r="N374" s="2">
        <v>324.66000000000003</v>
      </c>
      <c r="O374" s="2">
        <v>5198.3999999999996</v>
      </c>
      <c r="P374" s="2">
        <v>3895.92</v>
      </c>
      <c r="Q374" s="2">
        <v>1302.48</v>
      </c>
      <c r="R374">
        <v>0</v>
      </c>
      <c r="S374" s="2" t="str">
        <f>TEXT(data[[#This Row],[Date]],"mmm yyyy")</f>
        <v>Nov 2025</v>
      </c>
      <c r="T374" s="8">
        <f>data[[#This Row],[Profit]]/data[[#This Row],[Revenue]]</f>
        <v>0.25055401662049864</v>
      </c>
    </row>
    <row r="375" spans="1:20" x14ac:dyDescent="0.3">
      <c r="A375">
        <v>10373</v>
      </c>
      <c r="B375" t="s">
        <v>309</v>
      </c>
      <c r="C375" t="s">
        <v>607</v>
      </c>
      <c r="D375" t="s">
        <v>621</v>
      </c>
      <c r="E375" t="s">
        <v>626</v>
      </c>
      <c r="F375" t="s">
        <v>996</v>
      </c>
      <c r="G375" t="s">
        <v>1759</v>
      </c>
      <c r="H375" t="s">
        <v>1770</v>
      </c>
      <c r="I375" t="s">
        <v>1775</v>
      </c>
      <c r="J375" t="s">
        <v>1776</v>
      </c>
      <c r="K375">
        <v>12</v>
      </c>
      <c r="L375" s="2">
        <v>748</v>
      </c>
      <c r="M375">
        <v>0.05</v>
      </c>
      <c r="N375" s="2">
        <v>385.97</v>
      </c>
      <c r="O375" s="2">
        <v>8527.2000000000007</v>
      </c>
      <c r="P375" s="2">
        <v>4631.6400000000003</v>
      </c>
      <c r="Q375" s="2">
        <v>3895.56</v>
      </c>
      <c r="R375">
        <v>0</v>
      </c>
      <c r="S375" s="2" t="str">
        <f>TEXT(data[[#This Row],[Date]],"mmm yyyy")</f>
        <v>Nov 2024</v>
      </c>
      <c r="T375" s="8">
        <f>data[[#This Row],[Profit]]/data[[#This Row],[Revenue]]</f>
        <v>0.45683929074021951</v>
      </c>
    </row>
    <row r="376" spans="1:20" x14ac:dyDescent="0.3">
      <c r="A376">
        <v>10374</v>
      </c>
      <c r="B376" t="s">
        <v>310</v>
      </c>
      <c r="C376" t="s">
        <v>609</v>
      </c>
      <c r="D376" t="s">
        <v>619</v>
      </c>
      <c r="E376" t="s">
        <v>628</v>
      </c>
      <c r="F376" t="s">
        <v>997</v>
      </c>
      <c r="G376" t="s">
        <v>1764</v>
      </c>
      <c r="H376" t="s">
        <v>1770</v>
      </c>
      <c r="I376" t="s">
        <v>1775</v>
      </c>
      <c r="J376" t="s">
        <v>1778</v>
      </c>
      <c r="K376">
        <v>7</v>
      </c>
      <c r="L376" s="2">
        <v>453</v>
      </c>
      <c r="M376">
        <v>0.15</v>
      </c>
      <c r="N376" s="2">
        <v>298.99</v>
      </c>
      <c r="O376" s="2">
        <v>2695.35</v>
      </c>
      <c r="P376" s="2">
        <v>2092.9299999999998</v>
      </c>
      <c r="Q376" s="2">
        <v>602.41999999999996</v>
      </c>
      <c r="R376">
        <v>0</v>
      </c>
      <c r="S376" s="2" t="str">
        <f>TEXT(data[[#This Row],[Date]],"mmm yyyy")</f>
        <v>May 2025</v>
      </c>
      <c r="T376" s="8">
        <f>data[[#This Row],[Profit]]/data[[#This Row],[Revenue]]</f>
        <v>0.22350344111154394</v>
      </c>
    </row>
    <row r="377" spans="1:20" x14ac:dyDescent="0.3">
      <c r="A377">
        <v>10375</v>
      </c>
      <c r="B377" t="s">
        <v>311</v>
      </c>
      <c r="C377" t="s">
        <v>606</v>
      </c>
      <c r="D377" t="s">
        <v>625</v>
      </c>
      <c r="E377" t="s">
        <v>628</v>
      </c>
      <c r="F377" t="s">
        <v>998</v>
      </c>
      <c r="G377" t="s">
        <v>1760</v>
      </c>
      <c r="H377" t="s">
        <v>1769</v>
      </c>
      <c r="I377" t="s">
        <v>1774</v>
      </c>
      <c r="J377" t="s">
        <v>1777</v>
      </c>
      <c r="K377">
        <v>20</v>
      </c>
      <c r="L377" s="2">
        <v>204</v>
      </c>
      <c r="M377">
        <v>0.2</v>
      </c>
      <c r="N377" s="2">
        <v>152.88999999999999</v>
      </c>
      <c r="O377" s="2">
        <v>3264</v>
      </c>
      <c r="P377" s="2">
        <v>3057.8</v>
      </c>
      <c r="Q377" s="2">
        <v>206.2</v>
      </c>
      <c r="R377">
        <v>0</v>
      </c>
      <c r="S377" s="2" t="str">
        <f>TEXT(data[[#This Row],[Date]],"mmm yyyy")</f>
        <v>May 2025</v>
      </c>
      <c r="T377" s="8">
        <f>data[[#This Row],[Profit]]/data[[#This Row],[Revenue]]</f>
        <v>6.3174019607843135E-2</v>
      </c>
    </row>
    <row r="378" spans="1:20" x14ac:dyDescent="0.3">
      <c r="A378">
        <v>10376</v>
      </c>
      <c r="B378" t="s">
        <v>312</v>
      </c>
      <c r="C378" t="s">
        <v>608</v>
      </c>
      <c r="D378" t="s">
        <v>618</v>
      </c>
      <c r="E378" t="s">
        <v>628</v>
      </c>
      <c r="F378" t="s">
        <v>999</v>
      </c>
      <c r="G378" t="s">
        <v>1765</v>
      </c>
      <c r="H378" t="s">
        <v>1772</v>
      </c>
      <c r="I378" t="s">
        <v>1775</v>
      </c>
      <c r="J378" t="s">
        <v>1776</v>
      </c>
      <c r="K378">
        <v>12</v>
      </c>
      <c r="L378" s="2">
        <v>1055</v>
      </c>
      <c r="M378">
        <v>0</v>
      </c>
      <c r="N378" s="2">
        <v>700.2</v>
      </c>
      <c r="O378" s="2">
        <v>12660</v>
      </c>
      <c r="P378" s="2">
        <v>8402.4</v>
      </c>
      <c r="Q378" s="2">
        <v>4257.6000000000004</v>
      </c>
      <c r="R378">
        <v>0</v>
      </c>
      <c r="S378" s="2" t="str">
        <f>TEXT(data[[#This Row],[Date]],"mmm yyyy")</f>
        <v>Apr 2025</v>
      </c>
      <c r="T378" s="8">
        <f>data[[#This Row],[Profit]]/data[[#This Row],[Revenue]]</f>
        <v>0.33630331753554504</v>
      </c>
    </row>
    <row r="379" spans="1:20" x14ac:dyDescent="0.3">
      <c r="A379">
        <v>10377</v>
      </c>
      <c r="B379" t="s">
        <v>283</v>
      </c>
      <c r="C379" t="s">
        <v>608</v>
      </c>
      <c r="D379" t="s">
        <v>612</v>
      </c>
      <c r="E379" t="s">
        <v>629</v>
      </c>
      <c r="F379" t="s">
        <v>1000</v>
      </c>
      <c r="G379" t="s">
        <v>1765</v>
      </c>
      <c r="H379" t="s">
        <v>1769</v>
      </c>
      <c r="I379" t="s">
        <v>1775</v>
      </c>
      <c r="J379" t="s">
        <v>1776</v>
      </c>
      <c r="K379">
        <v>4</v>
      </c>
      <c r="L379" s="2">
        <v>332</v>
      </c>
      <c r="M379">
        <v>0.05</v>
      </c>
      <c r="N379" s="2">
        <v>231.89</v>
      </c>
      <c r="O379" s="2">
        <v>1261.5999999999999</v>
      </c>
      <c r="P379" s="2">
        <v>927.56</v>
      </c>
      <c r="Q379" s="2">
        <v>334.04</v>
      </c>
      <c r="R379">
        <v>0</v>
      </c>
      <c r="S379" s="2" t="str">
        <f>TEXT(data[[#This Row],[Date]],"mmm yyyy")</f>
        <v>Aug 2024</v>
      </c>
      <c r="T379" s="8">
        <f>data[[#This Row],[Profit]]/data[[#This Row],[Revenue]]</f>
        <v>0.26477488902980345</v>
      </c>
    </row>
    <row r="380" spans="1:20" x14ac:dyDescent="0.3">
      <c r="A380">
        <v>10378</v>
      </c>
      <c r="B380" t="s">
        <v>313</v>
      </c>
      <c r="C380" t="s">
        <v>607</v>
      </c>
      <c r="D380" t="s">
        <v>621</v>
      </c>
      <c r="E380" t="s">
        <v>626</v>
      </c>
      <c r="F380" t="s">
        <v>1001</v>
      </c>
      <c r="G380" t="s">
        <v>1763</v>
      </c>
      <c r="H380" t="s">
        <v>1772</v>
      </c>
      <c r="I380" t="s">
        <v>1774</v>
      </c>
      <c r="J380" t="s">
        <v>1777</v>
      </c>
      <c r="K380">
        <v>11</v>
      </c>
      <c r="L380" s="2">
        <v>809</v>
      </c>
      <c r="M380">
        <v>0.2</v>
      </c>
      <c r="N380" s="2">
        <v>552.59</v>
      </c>
      <c r="O380" s="2">
        <v>7119.2</v>
      </c>
      <c r="P380" s="2">
        <v>6078.49</v>
      </c>
      <c r="Q380" s="2">
        <v>1040.71</v>
      </c>
      <c r="R380">
        <v>0</v>
      </c>
      <c r="S380" s="2" t="str">
        <f>TEXT(data[[#This Row],[Date]],"mmm yyyy")</f>
        <v>May 2025</v>
      </c>
      <c r="T380" s="8">
        <f>data[[#This Row],[Profit]]/data[[#This Row],[Revenue]]</f>
        <v>0.14618355995055626</v>
      </c>
    </row>
    <row r="381" spans="1:20" x14ac:dyDescent="0.3">
      <c r="A381">
        <v>10379</v>
      </c>
      <c r="B381" t="s">
        <v>314</v>
      </c>
      <c r="C381" t="s">
        <v>608</v>
      </c>
      <c r="D381" t="s">
        <v>614</v>
      </c>
      <c r="E381" t="s">
        <v>626</v>
      </c>
      <c r="F381" t="s">
        <v>1002</v>
      </c>
      <c r="G381" t="s">
        <v>1759</v>
      </c>
      <c r="H381" t="s">
        <v>1770</v>
      </c>
      <c r="I381" t="s">
        <v>1774</v>
      </c>
      <c r="J381" t="s">
        <v>1779</v>
      </c>
      <c r="K381">
        <v>4</v>
      </c>
      <c r="L381" s="2">
        <v>964</v>
      </c>
      <c r="M381">
        <v>0.2</v>
      </c>
      <c r="N381" s="2">
        <v>569.16999999999996</v>
      </c>
      <c r="O381" s="2">
        <v>3084.8</v>
      </c>
      <c r="P381" s="2">
        <v>2276.6799999999998</v>
      </c>
      <c r="Q381" s="2">
        <v>808.12</v>
      </c>
      <c r="R381">
        <v>0</v>
      </c>
      <c r="S381" s="2" t="str">
        <f>TEXT(data[[#This Row],[Date]],"mmm yyyy")</f>
        <v>Jul 2024</v>
      </c>
      <c r="T381" s="8">
        <f>data[[#This Row],[Profit]]/data[[#This Row],[Revenue]]</f>
        <v>0.26196836099585064</v>
      </c>
    </row>
    <row r="382" spans="1:20" x14ac:dyDescent="0.3">
      <c r="A382">
        <v>10380</v>
      </c>
      <c r="B382" t="s">
        <v>315</v>
      </c>
      <c r="C382" t="s">
        <v>608</v>
      </c>
      <c r="D382" t="s">
        <v>618</v>
      </c>
      <c r="E382" t="s">
        <v>629</v>
      </c>
      <c r="F382" t="s">
        <v>1003</v>
      </c>
      <c r="G382" t="s">
        <v>1763</v>
      </c>
      <c r="H382" t="s">
        <v>1771</v>
      </c>
      <c r="I382" t="s">
        <v>1773</v>
      </c>
      <c r="J382" t="s">
        <v>1779</v>
      </c>
      <c r="K382">
        <v>15</v>
      </c>
      <c r="L382" s="2">
        <v>378</v>
      </c>
      <c r="M382">
        <v>0</v>
      </c>
      <c r="N382" s="2">
        <v>229.05</v>
      </c>
      <c r="O382" s="2">
        <v>5670</v>
      </c>
      <c r="P382" s="2">
        <v>3435.75</v>
      </c>
      <c r="Q382" s="2">
        <v>2234.25</v>
      </c>
      <c r="R382">
        <v>0</v>
      </c>
      <c r="S382" s="2" t="str">
        <f>TEXT(data[[#This Row],[Date]],"mmm yyyy")</f>
        <v>Sep 2025</v>
      </c>
      <c r="T382" s="8">
        <f>data[[#This Row],[Profit]]/data[[#This Row],[Revenue]]</f>
        <v>0.39404761904761904</v>
      </c>
    </row>
    <row r="383" spans="1:20" x14ac:dyDescent="0.3">
      <c r="A383">
        <v>10381</v>
      </c>
      <c r="B383" t="s">
        <v>316</v>
      </c>
      <c r="C383" t="s">
        <v>609</v>
      </c>
      <c r="D383" t="s">
        <v>622</v>
      </c>
      <c r="E383" t="s">
        <v>627</v>
      </c>
      <c r="F383" t="s">
        <v>1004</v>
      </c>
      <c r="G383" t="s">
        <v>1765</v>
      </c>
      <c r="H383" t="s">
        <v>1768</v>
      </c>
      <c r="I383" t="s">
        <v>1773</v>
      </c>
      <c r="J383" t="s">
        <v>1776</v>
      </c>
      <c r="K383">
        <v>6</v>
      </c>
      <c r="L383" s="2">
        <v>1148</v>
      </c>
      <c r="M383">
        <v>0.05</v>
      </c>
      <c r="N383" s="2">
        <v>728.57</v>
      </c>
      <c r="O383" s="2">
        <v>6543.6</v>
      </c>
      <c r="P383" s="2">
        <v>4371.42</v>
      </c>
      <c r="Q383" s="2">
        <v>2172.1799999999998</v>
      </c>
      <c r="R383">
        <v>0</v>
      </c>
      <c r="S383" s="2" t="str">
        <f>TEXT(data[[#This Row],[Date]],"mmm yyyy")</f>
        <v>Jun 2025</v>
      </c>
      <c r="T383" s="8">
        <f>data[[#This Row],[Profit]]/data[[#This Row],[Revenue]]</f>
        <v>0.33195488721804506</v>
      </c>
    </row>
    <row r="384" spans="1:20" x14ac:dyDescent="0.3">
      <c r="A384">
        <v>10382</v>
      </c>
      <c r="B384" t="s">
        <v>317</v>
      </c>
      <c r="C384" t="s">
        <v>607</v>
      </c>
      <c r="D384" t="s">
        <v>621</v>
      </c>
      <c r="E384" t="s">
        <v>626</v>
      </c>
      <c r="F384" t="s">
        <v>1005</v>
      </c>
      <c r="G384" t="s">
        <v>1763</v>
      </c>
      <c r="H384" t="s">
        <v>1772</v>
      </c>
      <c r="I384" t="s">
        <v>1773</v>
      </c>
      <c r="J384" t="s">
        <v>1778</v>
      </c>
      <c r="K384">
        <v>17</v>
      </c>
      <c r="L384" s="2">
        <v>934</v>
      </c>
      <c r="M384">
        <v>0</v>
      </c>
      <c r="N384" s="2">
        <v>581.04</v>
      </c>
      <c r="O384" s="2">
        <v>15878</v>
      </c>
      <c r="P384" s="2">
        <v>9877.68</v>
      </c>
      <c r="Q384" s="2">
        <v>6000.32</v>
      </c>
      <c r="R384">
        <v>0</v>
      </c>
      <c r="S384" s="2" t="str">
        <f>TEXT(data[[#This Row],[Date]],"mmm yyyy")</f>
        <v>Mar 2025</v>
      </c>
      <c r="T384" s="8">
        <f>data[[#This Row],[Profit]]/data[[#This Row],[Revenue]]</f>
        <v>0.37790149892933617</v>
      </c>
    </row>
    <row r="385" spans="1:20" x14ac:dyDescent="0.3">
      <c r="A385">
        <v>10383</v>
      </c>
      <c r="B385" t="s">
        <v>318</v>
      </c>
      <c r="C385" t="s">
        <v>607</v>
      </c>
      <c r="D385" t="s">
        <v>621</v>
      </c>
      <c r="E385" t="s">
        <v>627</v>
      </c>
      <c r="F385" t="s">
        <v>1006</v>
      </c>
      <c r="G385" t="s">
        <v>1763</v>
      </c>
      <c r="H385" t="s">
        <v>1770</v>
      </c>
      <c r="I385" t="s">
        <v>1775</v>
      </c>
      <c r="J385" t="s">
        <v>1779</v>
      </c>
      <c r="K385">
        <v>18</v>
      </c>
      <c r="L385" s="2">
        <v>621</v>
      </c>
      <c r="M385">
        <v>0.1</v>
      </c>
      <c r="N385" s="2">
        <v>373.88</v>
      </c>
      <c r="O385" s="2">
        <v>10060.200000000001</v>
      </c>
      <c r="P385" s="2">
        <v>6729.84</v>
      </c>
      <c r="Q385" s="2">
        <v>3330.36</v>
      </c>
      <c r="R385">
        <v>0</v>
      </c>
      <c r="S385" s="2" t="str">
        <f>TEXT(data[[#This Row],[Date]],"mmm yyyy")</f>
        <v>Jul 2024</v>
      </c>
      <c r="T385" s="8">
        <f>data[[#This Row],[Profit]]/data[[#This Row],[Revenue]]</f>
        <v>0.33104312041510109</v>
      </c>
    </row>
    <row r="386" spans="1:20" x14ac:dyDescent="0.3">
      <c r="A386">
        <v>10384</v>
      </c>
      <c r="B386" t="s">
        <v>319</v>
      </c>
      <c r="C386" t="s">
        <v>606</v>
      </c>
      <c r="D386" t="s">
        <v>625</v>
      </c>
      <c r="E386" t="s">
        <v>629</v>
      </c>
      <c r="F386" t="s">
        <v>1007</v>
      </c>
      <c r="G386" t="s">
        <v>1762</v>
      </c>
      <c r="H386" t="s">
        <v>1771</v>
      </c>
      <c r="I386" t="s">
        <v>1773</v>
      </c>
      <c r="J386" t="s">
        <v>1779</v>
      </c>
      <c r="K386">
        <v>7</v>
      </c>
      <c r="L386" s="2">
        <v>625</v>
      </c>
      <c r="M386">
        <v>0.15</v>
      </c>
      <c r="N386" s="2">
        <v>325.77999999999997</v>
      </c>
      <c r="O386" s="2">
        <v>3718.75</v>
      </c>
      <c r="P386" s="2">
        <v>2280.46</v>
      </c>
      <c r="Q386" s="2">
        <v>1438.29</v>
      </c>
      <c r="R386">
        <v>0</v>
      </c>
      <c r="S386" s="2" t="str">
        <f>TEXT(data[[#This Row],[Date]],"mmm yyyy")</f>
        <v>Aug 2025</v>
      </c>
      <c r="T386" s="8">
        <f>data[[#This Row],[Profit]]/data[[#This Row],[Revenue]]</f>
        <v>0.38676705882352941</v>
      </c>
    </row>
    <row r="387" spans="1:20" x14ac:dyDescent="0.3">
      <c r="A387">
        <v>10385</v>
      </c>
      <c r="B387" t="s">
        <v>284</v>
      </c>
      <c r="C387" t="s">
        <v>607</v>
      </c>
      <c r="D387" t="s">
        <v>611</v>
      </c>
      <c r="E387" t="s">
        <v>627</v>
      </c>
      <c r="F387" t="s">
        <v>1008</v>
      </c>
      <c r="G387" t="s">
        <v>1765</v>
      </c>
      <c r="H387" t="s">
        <v>1769</v>
      </c>
      <c r="I387" t="s">
        <v>1773</v>
      </c>
      <c r="J387" t="s">
        <v>1776</v>
      </c>
      <c r="K387">
        <v>16</v>
      </c>
      <c r="L387" s="2">
        <v>398</v>
      </c>
      <c r="M387">
        <v>0.1</v>
      </c>
      <c r="N387" s="2">
        <v>245.91</v>
      </c>
      <c r="O387" s="2">
        <v>5731.2</v>
      </c>
      <c r="P387" s="2">
        <v>3934.56</v>
      </c>
      <c r="Q387" s="2">
        <v>1796.64</v>
      </c>
      <c r="R387">
        <v>0</v>
      </c>
      <c r="S387" s="2" t="str">
        <f>TEXT(data[[#This Row],[Date]],"mmm yyyy")</f>
        <v>Apr 2025</v>
      </c>
      <c r="T387" s="8">
        <f>data[[#This Row],[Profit]]/data[[#This Row],[Revenue]]</f>
        <v>0.31348408710217757</v>
      </c>
    </row>
    <row r="388" spans="1:20" x14ac:dyDescent="0.3">
      <c r="A388">
        <v>10386</v>
      </c>
      <c r="B388" t="s">
        <v>320</v>
      </c>
      <c r="C388" t="s">
        <v>606</v>
      </c>
      <c r="D388" t="s">
        <v>616</v>
      </c>
      <c r="E388" t="s">
        <v>628</v>
      </c>
      <c r="F388" t="s">
        <v>1009</v>
      </c>
      <c r="G388" t="s">
        <v>1764</v>
      </c>
      <c r="H388" t="s">
        <v>1768</v>
      </c>
      <c r="I388" t="s">
        <v>1774</v>
      </c>
      <c r="J388" t="s">
        <v>1776</v>
      </c>
      <c r="K388">
        <v>4</v>
      </c>
      <c r="L388" s="2">
        <v>1213</v>
      </c>
      <c r="M388">
        <v>0.1</v>
      </c>
      <c r="N388" s="2">
        <v>829.1</v>
      </c>
      <c r="O388" s="2">
        <v>4366.8</v>
      </c>
      <c r="P388" s="2">
        <v>3316.4</v>
      </c>
      <c r="Q388" s="2">
        <v>1050.4000000000001</v>
      </c>
      <c r="R388">
        <v>0</v>
      </c>
      <c r="S388" s="2" t="str">
        <f>TEXT(data[[#This Row],[Date]],"mmm yyyy")</f>
        <v>Dec 2024</v>
      </c>
      <c r="T388" s="8">
        <f>data[[#This Row],[Profit]]/data[[#This Row],[Revenue]]</f>
        <v>0.24054227351836585</v>
      </c>
    </row>
    <row r="389" spans="1:20" x14ac:dyDescent="0.3">
      <c r="A389">
        <v>10387</v>
      </c>
      <c r="B389" t="s">
        <v>321</v>
      </c>
      <c r="C389" t="s">
        <v>609</v>
      </c>
      <c r="D389" t="s">
        <v>619</v>
      </c>
      <c r="E389" t="s">
        <v>626</v>
      </c>
      <c r="F389" t="s">
        <v>1010</v>
      </c>
      <c r="G389" t="s">
        <v>1766</v>
      </c>
      <c r="H389" t="s">
        <v>1772</v>
      </c>
      <c r="I389" t="s">
        <v>1774</v>
      </c>
      <c r="J389" t="s">
        <v>1779</v>
      </c>
      <c r="K389">
        <v>13</v>
      </c>
      <c r="L389" s="2">
        <v>1021</v>
      </c>
      <c r="M389">
        <v>0.15</v>
      </c>
      <c r="N389" s="2">
        <v>668.69</v>
      </c>
      <c r="O389" s="2">
        <v>11282.05</v>
      </c>
      <c r="P389" s="2">
        <v>8692.9699999999993</v>
      </c>
      <c r="Q389" s="2">
        <v>2589.08</v>
      </c>
      <c r="R389">
        <v>0</v>
      </c>
      <c r="S389" s="2" t="str">
        <f>TEXT(data[[#This Row],[Date]],"mmm yyyy")</f>
        <v>Jul 2025</v>
      </c>
      <c r="T389" s="8">
        <f>data[[#This Row],[Profit]]/data[[#This Row],[Revenue]]</f>
        <v>0.22948666244166618</v>
      </c>
    </row>
    <row r="390" spans="1:20" x14ac:dyDescent="0.3">
      <c r="A390">
        <v>10388</v>
      </c>
      <c r="B390" t="s">
        <v>322</v>
      </c>
      <c r="C390" t="s">
        <v>606</v>
      </c>
      <c r="D390" t="s">
        <v>610</v>
      </c>
      <c r="E390" t="s">
        <v>626</v>
      </c>
      <c r="F390" t="s">
        <v>1011</v>
      </c>
      <c r="G390" t="s">
        <v>1760</v>
      </c>
      <c r="H390" t="s">
        <v>1772</v>
      </c>
      <c r="I390" t="s">
        <v>1774</v>
      </c>
      <c r="J390" t="s">
        <v>1778</v>
      </c>
      <c r="K390">
        <v>18</v>
      </c>
      <c r="L390" s="2">
        <v>660</v>
      </c>
      <c r="M390">
        <v>0.2</v>
      </c>
      <c r="N390" s="2">
        <v>396.42</v>
      </c>
      <c r="O390" s="2">
        <v>9504</v>
      </c>
      <c r="P390" s="2">
        <v>7135.56</v>
      </c>
      <c r="Q390" s="2">
        <v>2368.44</v>
      </c>
      <c r="R390">
        <v>0</v>
      </c>
      <c r="S390" s="2" t="str">
        <f>TEXT(data[[#This Row],[Date]],"mmm yyyy")</f>
        <v>Oct 2024</v>
      </c>
      <c r="T390" s="8">
        <f>data[[#This Row],[Profit]]/data[[#This Row],[Revenue]]</f>
        <v>0.24920454545454546</v>
      </c>
    </row>
    <row r="391" spans="1:20" x14ac:dyDescent="0.3">
      <c r="A391">
        <v>10389</v>
      </c>
      <c r="B391" t="s">
        <v>323</v>
      </c>
      <c r="C391" t="s">
        <v>607</v>
      </c>
      <c r="D391" t="s">
        <v>611</v>
      </c>
      <c r="E391" t="s">
        <v>629</v>
      </c>
      <c r="F391" t="s">
        <v>986</v>
      </c>
      <c r="G391" t="s">
        <v>1761</v>
      </c>
      <c r="H391" t="s">
        <v>1767</v>
      </c>
      <c r="I391" t="s">
        <v>1775</v>
      </c>
      <c r="J391" t="s">
        <v>1778</v>
      </c>
      <c r="K391">
        <v>12</v>
      </c>
      <c r="L391" s="2">
        <v>150</v>
      </c>
      <c r="M391">
        <v>0.2</v>
      </c>
      <c r="N391" s="2">
        <v>108.57</v>
      </c>
      <c r="O391" s="2">
        <v>1440</v>
      </c>
      <c r="P391" s="2">
        <v>1302.8399999999999</v>
      </c>
      <c r="Q391" s="2">
        <v>137.16</v>
      </c>
      <c r="R391">
        <v>0</v>
      </c>
      <c r="S391" s="2" t="str">
        <f>TEXT(data[[#This Row],[Date]],"mmm yyyy")</f>
        <v>Jul 2025</v>
      </c>
      <c r="T391" s="8">
        <f>data[[#This Row],[Profit]]/data[[#This Row],[Revenue]]</f>
        <v>9.5250000000000001E-2</v>
      </c>
    </row>
    <row r="392" spans="1:20" x14ac:dyDescent="0.3">
      <c r="A392">
        <v>10390</v>
      </c>
      <c r="B392" t="s">
        <v>324</v>
      </c>
      <c r="C392" t="s">
        <v>607</v>
      </c>
      <c r="D392" t="s">
        <v>617</v>
      </c>
      <c r="E392" t="s">
        <v>629</v>
      </c>
      <c r="F392" t="s">
        <v>1012</v>
      </c>
      <c r="G392" t="s">
        <v>1764</v>
      </c>
      <c r="H392" t="s">
        <v>1768</v>
      </c>
      <c r="I392" t="s">
        <v>1773</v>
      </c>
      <c r="J392" t="s">
        <v>1779</v>
      </c>
      <c r="K392">
        <v>13</v>
      </c>
      <c r="L392" s="2">
        <v>1179</v>
      </c>
      <c r="M392">
        <v>0</v>
      </c>
      <c r="N392" s="2">
        <v>696.45</v>
      </c>
      <c r="O392" s="2">
        <v>15327</v>
      </c>
      <c r="P392" s="2">
        <v>9053.85</v>
      </c>
      <c r="Q392" s="2">
        <v>6273.15</v>
      </c>
      <c r="R392">
        <v>0</v>
      </c>
      <c r="S392" s="2" t="str">
        <f>TEXT(data[[#This Row],[Date]],"mmm yyyy")</f>
        <v>Oct 2024</v>
      </c>
      <c r="T392" s="8">
        <f>data[[#This Row],[Profit]]/data[[#This Row],[Revenue]]</f>
        <v>0.40928753180661576</v>
      </c>
    </row>
    <row r="393" spans="1:20" x14ac:dyDescent="0.3">
      <c r="A393">
        <v>10391</v>
      </c>
      <c r="B393" t="s">
        <v>283</v>
      </c>
      <c r="C393" t="s">
        <v>609</v>
      </c>
      <c r="D393" t="s">
        <v>622</v>
      </c>
      <c r="E393" t="s">
        <v>626</v>
      </c>
      <c r="F393" t="s">
        <v>1013</v>
      </c>
      <c r="G393" t="s">
        <v>1762</v>
      </c>
      <c r="H393" t="s">
        <v>1771</v>
      </c>
      <c r="I393" t="s">
        <v>1773</v>
      </c>
      <c r="J393" t="s">
        <v>1776</v>
      </c>
      <c r="K393">
        <v>2</v>
      </c>
      <c r="L393" s="2">
        <v>407</v>
      </c>
      <c r="M393">
        <v>0.05</v>
      </c>
      <c r="N393" s="2">
        <v>218.45</v>
      </c>
      <c r="O393" s="2">
        <v>773.3</v>
      </c>
      <c r="P393" s="2">
        <v>436.9</v>
      </c>
      <c r="Q393" s="2">
        <v>336.4</v>
      </c>
      <c r="R393">
        <v>0</v>
      </c>
      <c r="S393" s="2" t="str">
        <f>TEXT(data[[#This Row],[Date]],"mmm yyyy")</f>
        <v>Aug 2024</v>
      </c>
      <c r="T393" s="8">
        <f>data[[#This Row],[Profit]]/data[[#This Row],[Revenue]]</f>
        <v>0.4350187508082245</v>
      </c>
    </row>
    <row r="394" spans="1:20" x14ac:dyDescent="0.3">
      <c r="A394">
        <v>10392</v>
      </c>
      <c r="B394" t="s">
        <v>325</v>
      </c>
      <c r="C394" t="s">
        <v>608</v>
      </c>
      <c r="D394" t="s">
        <v>614</v>
      </c>
      <c r="E394" t="s">
        <v>626</v>
      </c>
      <c r="F394" t="s">
        <v>1014</v>
      </c>
      <c r="G394" t="s">
        <v>1765</v>
      </c>
      <c r="H394" t="s">
        <v>1771</v>
      </c>
      <c r="I394" t="s">
        <v>1775</v>
      </c>
      <c r="J394" t="s">
        <v>1776</v>
      </c>
      <c r="K394">
        <v>7</v>
      </c>
      <c r="L394" s="2">
        <v>522</v>
      </c>
      <c r="M394">
        <v>0</v>
      </c>
      <c r="N394" s="2">
        <v>358.62</v>
      </c>
      <c r="O394" s="2">
        <v>3654</v>
      </c>
      <c r="P394" s="2">
        <v>2510.34</v>
      </c>
      <c r="Q394" s="2">
        <v>1143.6600000000001</v>
      </c>
      <c r="R394">
        <v>1</v>
      </c>
      <c r="S394" s="2" t="str">
        <f>TEXT(data[[#This Row],[Date]],"mmm yyyy")</f>
        <v>Mar 2025</v>
      </c>
      <c r="T394" s="8">
        <f>data[[#This Row],[Profit]]/data[[#This Row],[Revenue]]</f>
        <v>0.31298850574712644</v>
      </c>
    </row>
    <row r="395" spans="1:20" x14ac:dyDescent="0.3">
      <c r="A395">
        <v>10393</v>
      </c>
      <c r="B395" t="s">
        <v>326</v>
      </c>
      <c r="C395" t="s">
        <v>609</v>
      </c>
      <c r="D395" t="s">
        <v>622</v>
      </c>
      <c r="E395" t="s">
        <v>628</v>
      </c>
      <c r="F395" t="s">
        <v>1015</v>
      </c>
      <c r="G395" t="s">
        <v>1761</v>
      </c>
      <c r="H395" t="s">
        <v>1771</v>
      </c>
      <c r="I395" t="s">
        <v>1773</v>
      </c>
      <c r="J395" t="s">
        <v>1777</v>
      </c>
      <c r="K395">
        <v>2</v>
      </c>
      <c r="L395" s="2">
        <v>363</v>
      </c>
      <c r="M395">
        <v>0</v>
      </c>
      <c r="N395" s="2">
        <v>211.25</v>
      </c>
      <c r="O395" s="2">
        <v>726</v>
      </c>
      <c r="P395" s="2">
        <v>422.5</v>
      </c>
      <c r="Q395" s="2">
        <v>303.5</v>
      </c>
      <c r="R395">
        <v>0</v>
      </c>
      <c r="S395" s="2" t="str">
        <f>TEXT(data[[#This Row],[Date]],"mmm yyyy")</f>
        <v>Apr 2024</v>
      </c>
      <c r="T395" s="8">
        <f>data[[#This Row],[Profit]]/data[[#This Row],[Revenue]]</f>
        <v>0.4180440771349862</v>
      </c>
    </row>
    <row r="396" spans="1:20" x14ac:dyDescent="0.3">
      <c r="A396">
        <v>10394</v>
      </c>
      <c r="B396" t="s">
        <v>327</v>
      </c>
      <c r="C396" t="s">
        <v>606</v>
      </c>
      <c r="D396" t="s">
        <v>610</v>
      </c>
      <c r="E396" t="s">
        <v>627</v>
      </c>
      <c r="F396" t="s">
        <v>1016</v>
      </c>
      <c r="G396" t="s">
        <v>1760</v>
      </c>
      <c r="H396" t="s">
        <v>1772</v>
      </c>
      <c r="I396" t="s">
        <v>1774</v>
      </c>
      <c r="J396" t="s">
        <v>1777</v>
      </c>
      <c r="K396">
        <v>14</v>
      </c>
      <c r="L396" s="2">
        <v>623</v>
      </c>
      <c r="M396">
        <v>0.1</v>
      </c>
      <c r="N396" s="2">
        <v>372.38</v>
      </c>
      <c r="O396" s="2">
        <v>7849.8</v>
      </c>
      <c r="P396" s="2">
        <v>5213.32</v>
      </c>
      <c r="Q396" s="2">
        <v>2636.48</v>
      </c>
      <c r="R396">
        <v>0</v>
      </c>
      <c r="S396" s="2" t="str">
        <f>TEXT(data[[#This Row],[Date]],"mmm yyyy")</f>
        <v>Apr 2025</v>
      </c>
      <c r="T396" s="8">
        <f>data[[#This Row],[Profit]]/data[[#This Row],[Revenue]]</f>
        <v>0.33586588193329764</v>
      </c>
    </row>
    <row r="397" spans="1:20" x14ac:dyDescent="0.3">
      <c r="A397">
        <v>10395</v>
      </c>
      <c r="B397" t="s">
        <v>168</v>
      </c>
      <c r="C397" t="s">
        <v>608</v>
      </c>
      <c r="D397" t="s">
        <v>618</v>
      </c>
      <c r="E397" t="s">
        <v>626</v>
      </c>
      <c r="F397" t="s">
        <v>1017</v>
      </c>
      <c r="G397" t="s">
        <v>1764</v>
      </c>
      <c r="H397" t="s">
        <v>1771</v>
      </c>
      <c r="I397" t="s">
        <v>1773</v>
      </c>
      <c r="J397" t="s">
        <v>1778</v>
      </c>
      <c r="K397">
        <v>2</v>
      </c>
      <c r="L397" s="2">
        <v>479</v>
      </c>
      <c r="M397">
        <v>0.15</v>
      </c>
      <c r="N397" s="2">
        <v>302.99</v>
      </c>
      <c r="O397" s="2">
        <v>814.3</v>
      </c>
      <c r="P397" s="2">
        <v>605.98</v>
      </c>
      <c r="Q397" s="2">
        <v>208.32</v>
      </c>
      <c r="R397">
        <v>0</v>
      </c>
      <c r="S397" s="2" t="str">
        <f>TEXT(data[[#This Row],[Date]],"mmm yyyy")</f>
        <v>Mar 2025</v>
      </c>
      <c r="T397" s="8">
        <f>data[[#This Row],[Profit]]/data[[#This Row],[Revenue]]</f>
        <v>0.25582709075279381</v>
      </c>
    </row>
    <row r="398" spans="1:20" x14ac:dyDescent="0.3">
      <c r="A398">
        <v>10396</v>
      </c>
      <c r="B398" t="s">
        <v>328</v>
      </c>
      <c r="C398" t="s">
        <v>607</v>
      </c>
      <c r="D398" t="s">
        <v>621</v>
      </c>
      <c r="E398" t="s">
        <v>626</v>
      </c>
      <c r="F398" t="s">
        <v>1018</v>
      </c>
      <c r="G398" t="s">
        <v>1760</v>
      </c>
      <c r="H398" t="s">
        <v>1768</v>
      </c>
      <c r="I398" t="s">
        <v>1775</v>
      </c>
      <c r="J398" t="s">
        <v>1779</v>
      </c>
      <c r="K398">
        <v>17</v>
      </c>
      <c r="L398" s="2">
        <v>1374</v>
      </c>
      <c r="M398">
        <v>0.05</v>
      </c>
      <c r="N398" s="2">
        <v>857.64</v>
      </c>
      <c r="O398" s="2">
        <v>22190.1</v>
      </c>
      <c r="P398" s="2">
        <v>14579.88</v>
      </c>
      <c r="Q398" s="2">
        <v>7610.22</v>
      </c>
      <c r="R398">
        <v>1</v>
      </c>
      <c r="S398" s="2" t="str">
        <f>TEXT(data[[#This Row],[Date]],"mmm yyyy")</f>
        <v>Jun 2024</v>
      </c>
      <c r="T398" s="8">
        <f>data[[#This Row],[Profit]]/data[[#This Row],[Revenue]]</f>
        <v>0.34295564238106185</v>
      </c>
    </row>
    <row r="399" spans="1:20" x14ac:dyDescent="0.3">
      <c r="A399">
        <v>10397</v>
      </c>
      <c r="B399" t="s">
        <v>329</v>
      </c>
      <c r="C399" t="s">
        <v>608</v>
      </c>
      <c r="D399" t="s">
        <v>615</v>
      </c>
      <c r="E399" t="s">
        <v>628</v>
      </c>
      <c r="F399" t="s">
        <v>1019</v>
      </c>
      <c r="G399" t="s">
        <v>1762</v>
      </c>
      <c r="H399" t="s">
        <v>1770</v>
      </c>
      <c r="I399" t="s">
        <v>1773</v>
      </c>
      <c r="J399" t="s">
        <v>1776</v>
      </c>
      <c r="K399">
        <v>11</v>
      </c>
      <c r="L399" s="2">
        <v>818</v>
      </c>
      <c r="M399">
        <v>0.15</v>
      </c>
      <c r="N399" s="2">
        <v>604.4</v>
      </c>
      <c r="O399" s="2">
        <v>7648.3</v>
      </c>
      <c r="P399" s="2">
        <v>6648.4</v>
      </c>
      <c r="Q399" s="2">
        <v>999.9</v>
      </c>
      <c r="R399">
        <v>0</v>
      </c>
      <c r="S399" s="2" t="str">
        <f>TEXT(data[[#This Row],[Date]],"mmm yyyy")</f>
        <v>Nov 2024</v>
      </c>
      <c r="T399" s="8">
        <f>data[[#This Row],[Profit]]/data[[#This Row],[Revenue]]</f>
        <v>0.1307349345606213</v>
      </c>
    </row>
    <row r="400" spans="1:20" x14ac:dyDescent="0.3">
      <c r="A400">
        <v>10398</v>
      </c>
      <c r="B400" t="s">
        <v>60</v>
      </c>
      <c r="C400" t="s">
        <v>606</v>
      </c>
      <c r="D400" t="s">
        <v>625</v>
      </c>
      <c r="E400" t="s">
        <v>626</v>
      </c>
      <c r="F400" t="s">
        <v>1020</v>
      </c>
      <c r="G400" t="s">
        <v>1760</v>
      </c>
      <c r="H400" t="s">
        <v>1770</v>
      </c>
      <c r="I400" t="s">
        <v>1773</v>
      </c>
      <c r="J400" t="s">
        <v>1779</v>
      </c>
      <c r="K400">
        <v>9</v>
      </c>
      <c r="L400" s="2">
        <v>973</v>
      </c>
      <c r="M400">
        <v>0.2</v>
      </c>
      <c r="N400" s="2">
        <v>568.42999999999995</v>
      </c>
      <c r="O400" s="2">
        <v>7005.6</v>
      </c>
      <c r="P400" s="2">
        <v>5115.87</v>
      </c>
      <c r="Q400" s="2">
        <v>1889.73</v>
      </c>
      <c r="R400">
        <v>1</v>
      </c>
      <c r="S400" s="2" t="str">
        <f>TEXT(data[[#This Row],[Date]],"mmm yyyy")</f>
        <v>Oct 2024</v>
      </c>
      <c r="T400" s="8">
        <f>data[[#This Row],[Profit]]/data[[#This Row],[Revenue]]</f>
        <v>0.26974563206577595</v>
      </c>
    </row>
    <row r="401" spans="1:20" x14ac:dyDescent="0.3">
      <c r="A401">
        <v>10399</v>
      </c>
      <c r="B401" t="s">
        <v>180</v>
      </c>
      <c r="C401" t="s">
        <v>609</v>
      </c>
      <c r="D401" t="s">
        <v>619</v>
      </c>
      <c r="E401" t="s">
        <v>627</v>
      </c>
      <c r="F401" t="s">
        <v>1021</v>
      </c>
      <c r="G401" t="s">
        <v>1763</v>
      </c>
      <c r="H401" t="s">
        <v>1772</v>
      </c>
      <c r="I401" t="s">
        <v>1775</v>
      </c>
      <c r="J401" t="s">
        <v>1776</v>
      </c>
      <c r="K401">
        <v>17</v>
      </c>
      <c r="L401" s="2">
        <v>1100</v>
      </c>
      <c r="M401">
        <v>0.15</v>
      </c>
      <c r="N401" s="2">
        <v>743.88</v>
      </c>
      <c r="O401" s="2">
        <v>15895</v>
      </c>
      <c r="P401" s="2">
        <v>12645.96</v>
      </c>
      <c r="Q401" s="2">
        <v>3249.04</v>
      </c>
      <c r="R401">
        <v>0</v>
      </c>
      <c r="S401" s="2" t="str">
        <f>TEXT(data[[#This Row],[Date]],"mmm yyyy")</f>
        <v>Mar 2024</v>
      </c>
      <c r="T401" s="8">
        <f>data[[#This Row],[Profit]]/data[[#This Row],[Revenue]]</f>
        <v>0.20440641711229945</v>
      </c>
    </row>
    <row r="402" spans="1:20" x14ac:dyDescent="0.3">
      <c r="A402">
        <v>10400</v>
      </c>
      <c r="B402" t="s">
        <v>330</v>
      </c>
      <c r="C402" t="s">
        <v>607</v>
      </c>
      <c r="D402" t="s">
        <v>611</v>
      </c>
      <c r="E402" t="s">
        <v>628</v>
      </c>
      <c r="F402" t="s">
        <v>1022</v>
      </c>
      <c r="G402" t="s">
        <v>1759</v>
      </c>
      <c r="H402" t="s">
        <v>1770</v>
      </c>
      <c r="I402" t="s">
        <v>1773</v>
      </c>
      <c r="J402" t="s">
        <v>1778</v>
      </c>
      <c r="K402">
        <v>3</v>
      </c>
      <c r="L402" s="2">
        <v>662</v>
      </c>
      <c r="M402">
        <v>0.15</v>
      </c>
      <c r="N402" s="2">
        <v>438.37</v>
      </c>
      <c r="O402" s="2">
        <v>1688.1</v>
      </c>
      <c r="P402" s="2">
        <v>1315.11</v>
      </c>
      <c r="Q402" s="2">
        <v>372.99</v>
      </c>
      <c r="R402">
        <v>0</v>
      </c>
      <c r="S402" s="2" t="str">
        <f>TEXT(data[[#This Row],[Date]],"mmm yyyy")</f>
        <v>Feb 2024</v>
      </c>
      <c r="T402" s="8">
        <f>data[[#This Row],[Profit]]/data[[#This Row],[Revenue]]</f>
        <v>0.22095255020437179</v>
      </c>
    </row>
    <row r="403" spans="1:20" x14ac:dyDescent="0.3">
      <c r="A403">
        <v>10401</v>
      </c>
      <c r="B403" t="s">
        <v>98</v>
      </c>
      <c r="C403" t="s">
        <v>606</v>
      </c>
      <c r="D403" t="s">
        <v>625</v>
      </c>
      <c r="E403" t="s">
        <v>629</v>
      </c>
      <c r="F403" t="s">
        <v>1023</v>
      </c>
      <c r="G403" t="s">
        <v>1764</v>
      </c>
      <c r="H403" t="s">
        <v>1771</v>
      </c>
      <c r="I403" t="s">
        <v>1773</v>
      </c>
      <c r="J403" t="s">
        <v>1776</v>
      </c>
      <c r="K403">
        <v>17</v>
      </c>
      <c r="L403" s="2">
        <v>560</v>
      </c>
      <c r="M403">
        <v>0.2</v>
      </c>
      <c r="N403" s="2">
        <v>339.75</v>
      </c>
      <c r="O403" s="2">
        <v>7616</v>
      </c>
      <c r="P403" s="2">
        <v>5775.75</v>
      </c>
      <c r="Q403" s="2">
        <v>1840.25</v>
      </c>
      <c r="R403">
        <v>0</v>
      </c>
      <c r="S403" s="2" t="str">
        <f>TEXT(data[[#This Row],[Date]],"mmm yyyy")</f>
        <v>Apr 2025</v>
      </c>
      <c r="T403" s="8">
        <f>data[[#This Row],[Profit]]/data[[#This Row],[Revenue]]</f>
        <v>0.24162946428571427</v>
      </c>
    </row>
    <row r="404" spans="1:20" x14ac:dyDescent="0.3">
      <c r="A404">
        <v>10402</v>
      </c>
      <c r="B404" t="s">
        <v>219</v>
      </c>
      <c r="C404" t="s">
        <v>608</v>
      </c>
      <c r="D404" t="s">
        <v>612</v>
      </c>
      <c r="E404" t="s">
        <v>629</v>
      </c>
      <c r="F404" t="s">
        <v>1024</v>
      </c>
      <c r="G404" t="s">
        <v>1760</v>
      </c>
      <c r="H404" t="s">
        <v>1768</v>
      </c>
      <c r="I404" t="s">
        <v>1775</v>
      </c>
      <c r="J404" t="s">
        <v>1779</v>
      </c>
      <c r="K404">
        <v>5</v>
      </c>
      <c r="L404" s="2">
        <v>1353</v>
      </c>
      <c r="M404">
        <v>0.1</v>
      </c>
      <c r="N404" s="2">
        <v>891.92</v>
      </c>
      <c r="O404" s="2">
        <v>6088.5</v>
      </c>
      <c r="P404" s="2">
        <v>4459.6000000000004</v>
      </c>
      <c r="Q404" s="2">
        <v>1628.9</v>
      </c>
      <c r="R404">
        <v>1</v>
      </c>
      <c r="S404" s="2" t="str">
        <f>TEXT(data[[#This Row],[Date]],"mmm yyyy")</f>
        <v>Sep 2024</v>
      </c>
      <c r="T404" s="8">
        <f>data[[#This Row],[Profit]]/data[[#This Row],[Revenue]]</f>
        <v>0.26753716022008706</v>
      </c>
    </row>
    <row r="405" spans="1:20" x14ac:dyDescent="0.3">
      <c r="A405">
        <v>10403</v>
      </c>
      <c r="B405" t="s">
        <v>232</v>
      </c>
      <c r="C405" t="s">
        <v>609</v>
      </c>
      <c r="D405" t="s">
        <v>622</v>
      </c>
      <c r="E405" t="s">
        <v>629</v>
      </c>
      <c r="F405" t="s">
        <v>1025</v>
      </c>
      <c r="G405" t="s">
        <v>1765</v>
      </c>
      <c r="H405" t="s">
        <v>1768</v>
      </c>
      <c r="I405" t="s">
        <v>1774</v>
      </c>
      <c r="J405" t="s">
        <v>1776</v>
      </c>
      <c r="K405">
        <v>7</v>
      </c>
      <c r="L405" s="2">
        <v>835</v>
      </c>
      <c r="M405">
        <v>0.15</v>
      </c>
      <c r="N405" s="2">
        <v>542.9</v>
      </c>
      <c r="O405" s="2">
        <v>4968.25</v>
      </c>
      <c r="P405" s="2">
        <v>3800.3</v>
      </c>
      <c r="Q405" s="2">
        <v>1167.95</v>
      </c>
      <c r="R405">
        <v>0</v>
      </c>
      <c r="S405" s="2" t="str">
        <f>TEXT(data[[#This Row],[Date]],"mmm yyyy")</f>
        <v>Oct 2024</v>
      </c>
      <c r="T405" s="8">
        <f>data[[#This Row],[Profit]]/data[[#This Row],[Revenue]]</f>
        <v>0.23508277562522015</v>
      </c>
    </row>
    <row r="406" spans="1:20" x14ac:dyDescent="0.3">
      <c r="A406">
        <v>10404</v>
      </c>
      <c r="B406" t="s">
        <v>331</v>
      </c>
      <c r="C406" t="s">
        <v>608</v>
      </c>
      <c r="D406" t="s">
        <v>612</v>
      </c>
      <c r="E406" t="s">
        <v>629</v>
      </c>
      <c r="F406" t="s">
        <v>1026</v>
      </c>
      <c r="G406" t="s">
        <v>1759</v>
      </c>
      <c r="H406" t="s">
        <v>1772</v>
      </c>
      <c r="I406" t="s">
        <v>1773</v>
      </c>
      <c r="J406" t="s">
        <v>1778</v>
      </c>
      <c r="K406">
        <v>6</v>
      </c>
      <c r="L406" s="2">
        <v>668</v>
      </c>
      <c r="M406">
        <v>0.05</v>
      </c>
      <c r="N406" s="2">
        <v>413.14</v>
      </c>
      <c r="O406" s="2">
        <v>3807.6</v>
      </c>
      <c r="P406" s="2">
        <v>2478.84</v>
      </c>
      <c r="Q406" s="2">
        <v>1328.76</v>
      </c>
      <c r="R406">
        <v>0</v>
      </c>
      <c r="S406" s="2" t="str">
        <f>TEXT(data[[#This Row],[Date]],"mmm yyyy")</f>
        <v>Sep 2024</v>
      </c>
      <c r="T406" s="8">
        <f>data[[#This Row],[Profit]]/data[[#This Row],[Revenue]]</f>
        <v>0.34897573274503624</v>
      </c>
    </row>
    <row r="407" spans="1:20" x14ac:dyDescent="0.3">
      <c r="A407">
        <v>10405</v>
      </c>
      <c r="B407" t="s">
        <v>332</v>
      </c>
      <c r="C407" t="s">
        <v>609</v>
      </c>
      <c r="D407" t="s">
        <v>619</v>
      </c>
      <c r="E407" t="s">
        <v>626</v>
      </c>
      <c r="F407" t="s">
        <v>1027</v>
      </c>
      <c r="G407" t="s">
        <v>1759</v>
      </c>
      <c r="H407" t="s">
        <v>1769</v>
      </c>
      <c r="I407" t="s">
        <v>1774</v>
      </c>
      <c r="J407" t="s">
        <v>1779</v>
      </c>
      <c r="K407">
        <v>15</v>
      </c>
      <c r="L407" s="2">
        <v>469</v>
      </c>
      <c r="M407">
        <v>0.05</v>
      </c>
      <c r="N407" s="2">
        <v>246.03</v>
      </c>
      <c r="O407" s="2">
        <v>6683.25</v>
      </c>
      <c r="P407" s="2">
        <v>3690.45</v>
      </c>
      <c r="Q407" s="2">
        <v>2992.8</v>
      </c>
      <c r="R407">
        <v>1</v>
      </c>
      <c r="S407" s="2" t="str">
        <f>TEXT(data[[#This Row],[Date]],"mmm yyyy")</f>
        <v>Nov 2024</v>
      </c>
      <c r="T407" s="8">
        <f>data[[#This Row],[Profit]]/data[[#This Row],[Revenue]]</f>
        <v>0.44780608237010439</v>
      </c>
    </row>
    <row r="408" spans="1:20" x14ac:dyDescent="0.3">
      <c r="A408">
        <v>10406</v>
      </c>
      <c r="B408" t="s">
        <v>333</v>
      </c>
      <c r="C408" t="s">
        <v>607</v>
      </c>
      <c r="D408" t="s">
        <v>621</v>
      </c>
      <c r="E408" t="s">
        <v>627</v>
      </c>
      <c r="F408" t="s">
        <v>1028</v>
      </c>
      <c r="G408" t="s">
        <v>1764</v>
      </c>
      <c r="H408" t="s">
        <v>1772</v>
      </c>
      <c r="I408" t="s">
        <v>1775</v>
      </c>
      <c r="J408" t="s">
        <v>1778</v>
      </c>
      <c r="K408">
        <v>17</v>
      </c>
      <c r="L408" s="2">
        <v>664</v>
      </c>
      <c r="M408">
        <v>0</v>
      </c>
      <c r="N408" s="2">
        <v>423.98</v>
      </c>
      <c r="O408" s="2">
        <v>11288</v>
      </c>
      <c r="P408" s="2">
        <v>7207.66</v>
      </c>
      <c r="Q408" s="2">
        <v>4080.34</v>
      </c>
      <c r="R408">
        <v>1</v>
      </c>
      <c r="S408" s="2" t="str">
        <f>TEXT(data[[#This Row],[Date]],"mmm yyyy")</f>
        <v>Jun 2024</v>
      </c>
      <c r="T408" s="8">
        <f>data[[#This Row],[Profit]]/data[[#This Row],[Revenue]]</f>
        <v>0.36147590361445786</v>
      </c>
    </row>
    <row r="409" spans="1:20" x14ac:dyDescent="0.3">
      <c r="A409">
        <v>10407</v>
      </c>
      <c r="B409" t="s">
        <v>334</v>
      </c>
      <c r="C409" t="s">
        <v>606</v>
      </c>
      <c r="D409" t="s">
        <v>620</v>
      </c>
      <c r="E409" t="s">
        <v>628</v>
      </c>
      <c r="F409" t="s">
        <v>1029</v>
      </c>
      <c r="G409" t="s">
        <v>1765</v>
      </c>
      <c r="H409" t="s">
        <v>1769</v>
      </c>
      <c r="I409" t="s">
        <v>1775</v>
      </c>
      <c r="J409" t="s">
        <v>1778</v>
      </c>
      <c r="K409">
        <v>19</v>
      </c>
      <c r="L409" s="2">
        <v>404</v>
      </c>
      <c r="M409">
        <v>0.1</v>
      </c>
      <c r="N409" s="2">
        <v>218.37</v>
      </c>
      <c r="O409" s="2">
        <v>6908.4</v>
      </c>
      <c r="P409" s="2">
        <v>4149.03</v>
      </c>
      <c r="Q409" s="2">
        <v>2759.37</v>
      </c>
      <c r="R409">
        <v>0</v>
      </c>
      <c r="S409" s="2" t="str">
        <f>TEXT(data[[#This Row],[Date]],"mmm yyyy")</f>
        <v>Jan 2025</v>
      </c>
      <c r="T409" s="8">
        <f>data[[#This Row],[Profit]]/data[[#This Row],[Revenue]]</f>
        <v>0.39942244224422441</v>
      </c>
    </row>
    <row r="410" spans="1:20" x14ac:dyDescent="0.3">
      <c r="A410">
        <v>10408</v>
      </c>
      <c r="B410" t="s">
        <v>335</v>
      </c>
      <c r="C410" t="s">
        <v>606</v>
      </c>
      <c r="D410" t="s">
        <v>616</v>
      </c>
      <c r="E410" t="s">
        <v>628</v>
      </c>
      <c r="F410" t="s">
        <v>1030</v>
      </c>
      <c r="G410" t="s">
        <v>1762</v>
      </c>
      <c r="H410" t="s">
        <v>1769</v>
      </c>
      <c r="I410" t="s">
        <v>1775</v>
      </c>
      <c r="J410" t="s">
        <v>1778</v>
      </c>
      <c r="K410">
        <v>6</v>
      </c>
      <c r="L410" s="2">
        <v>430</v>
      </c>
      <c r="M410">
        <v>0.1</v>
      </c>
      <c r="N410" s="2">
        <v>297.82</v>
      </c>
      <c r="O410" s="2">
        <v>2322</v>
      </c>
      <c r="P410" s="2">
        <v>1786.92</v>
      </c>
      <c r="Q410" s="2">
        <v>535.08000000000004</v>
      </c>
      <c r="R410">
        <v>0</v>
      </c>
      <c r="S410" s="2" t="str">
        <f>TEXT(data[[#This Row],[Date]],"mmm yyyy")</f>
        <v>Jul 2024</v>
      </c>
      <c r="T410" s="8">
        <f>data[[#This Row],[Profit]]/data[[#This Row],[Revenue]]</f>
        <v>0.23043927648578813</v>
      </c>
    </row>
    <row r="411" spans="1:20" x14ac:dyDescent="0.3">
      <c r="A411">
        <v>10409</v>
      </c>
      <c r="B411" t="s">
        <v>172</v>
      </c>
      <c r="C411" t="s">
        <v>606</v>
      </c>
      <c r="D411" t="s">
        <v>616</v>
      </c>
      <c r="E411" t="s">
        <v>629</v>
      </c>
      <c r="F411" t="s">
        <v>1031</v>
      </c>
      <c r="G411" t="s">
        <v>1761</v>
      </c>
      <c r="H411" t="s">
        <v>1770</v>
      </c>
      <c r="I411" t="s">
        <v>1775</v>
      </c>
      <c r="J411" t="s">
        <v>1776</v>
      </c>
      <c r="K411">
        <v>18</v>
      </c>
      <c r="L411" s="2">
        <v>602</v>
      </c>
      <c r="M411">
        <v>0.05</v>
      </c>
      <c r="N411" s="2">
        <v>355.23</v>
      </c>
      <c r="O411" s="2">
        <v>10294.200000000001</v>
      </c>
      <c r="P411" s="2">
        <v>6394.14</v>
      </c>
      <c r="Q411" s="2">
        <v>3900.06</v>
      </c>
      <c r="R411">
        <v>0</v>
      </c>
      <c r="S411" s="2" t="str">
        <f>TEXT(data[[#This Row],[Date]],"mmm yyyy")</f>
        <v>Nov 2024</v>
      </c>
      <c r="T411" s="8">
        <f>data[[#This Row],[Profit]]/data[[#This Row],[Revenue]]</f>
        <v>0.37885994054904698</v>
      </c>
    </row>
    <row r="412" spans="1:20" x14ac:dyDescent="0.3">
      <c r="A412">
        <v>10410</v>
      </c>
      <c r="B412" t="s">
        <v>41</v>
      </c>
      <c r="C412" t="s">
        <v>608</v>
      </c>
      <c r="D412" t="s">
        <v>614</v>
      </c>
      <c r="E412" t="s">
        <v>626</v>
      </c>
      <c r="F412" t="s">
        <v>1032</v>
      </c>
      <c r="G412" t="s">
        <v>1761</v>
      </c>
      <c r="H412" t="s">
        <v>1771</v>
      </c>
      <c r="I412" t="s">
        <v>1773</v>
      </c>
      <c r="J412" t="s">
        <v>1776</v>
      </c>
      <c r="K412">
        <v>17</v>
      </c>
      <c r="L412" s="2">
        <v>563</v>
      </c>
      <c r="M412">
        <v>0</v>
      </c>
      <c r="N412" s="2">
        <v>387.51</v>
      </c>
      <c r="O412" s="2">
        <v>9571</v>
      </c>
      <c r="P412" s="2">
        <v>6587.67</v>
      </c>
      <c r="Q412" s="2">
        <v>2983.33</v>
      </c>
      <c r="R412">
        <v>0</v>
      </c>
      <c r="S412" s="2" t="str">
        <f>TEXT(data[[#This Row],[Date]],"mmm yyyy")</f>
        <v>Nov 2025</v>
      </c>
      <c r="T412" s="8">
        <f>data[[#This Row],[Profit]]/data[[#This Row],[Revenue]]</f>
        <v>0.31170515097690943</v>
      </c>
    </row>
    <row r="413" spans="1:20" x14ac:dyDescent="0.3">
      <c r="A413">
        <v>10411</v>
      </c>
      <c r="B413" t="s">
        <v>336</v>
      </c>
      <c r="C413" t="s">
        <v>606</v>
      </c>
      <c r="D413" t="s">
        <v>620</v>
      </c>
      <c r="E413" t="s">
        <v>628</v>
      </c>
      <c r="F413" t="s">
        <v>1033</v>
      </c>
      <c r="G413" t="s">
        <v>1765</v>
      </c>
      <c r="H413" t="s">
        <v>1767</v>
      </c>
      <c r="I413" t="s">
        <v>1773</v>
      </c>
      <c r="J413" t="s">
        <v>1777</v>
      </c>
      <c r="K413">
        <v>9</v>
      </c>
      <c r="L413" s="2">
        <v>102</v>
      </c>
      <c r="M413">
        <v>0.1</v>
      </c>
      <c r="N413" s="2">
        <v>73.83</v>
      </c>
      <c r="O413" s="2">
        <v>826.2</v>
      </c>
      <c r="P413" s="2">
        <v>664.47</v>
      </c>
      <c r="Q413" s="2">
        <v>161.72999999999999</v>
      </c>
      <c r="R413">
        <v>0</v>
      </c>
      <c r="S413" s="2" t="str">
        <f>TEXT(data[[#This Row],[Date]],"mmm yyyy")</f>
        <v>Jun 2025</v>
      </c>
      <c r="T413" s="8">
        <f>data[[#This Row],[Profit]]/data[[#This Row],[Revenue]]</f>
        <v>0.19575163398692808</v>
      </c>
    </row>
    <row r="414" spans="1:20" x14ac:dyDescent="0.3">
      <c r="A414">
        <v>10412</v>
      </c>
      <c r="B414" t="s">
        <v>169</v>
      </c>
      <c r="C414" t="s">
        <v>608</v>
      </c>
      <c r="D414" t="s">
        <v>618</v>
      </c>
      <c r="E414" t="s">
        <v>628</v>
      </c>
      <c r="F414" t="s">
        <v>1034</v>
      </c>
      <c r="G414" t="s">
        <v>1760</v>
      </c>
      <c r="H414" t="s">
        <v>1768</v>
      </c>
      <c r="I414" t="s">
        <v>1773</v>
      </c>
      <c r="J414" t="s">
        <v>1779</v>
      </c>
      <c r="K414">
        <v>4</v>
      </c>
      <c r="L414" s="2">
        <v>1015</v>
      </c>
      <c r="M414">
        <v>0.1</v>
      </c>
      <c r="N414" s="2">
        <v>656.06</v>
      </c>
      <c r="O414" s="2">
        <v>3654</v>
      </c>
      <c r="P414" s="2">
        <v>2624.24</v>
      </c>
      <c r="Q414" s="2">
        <v>1029.76</v>
      </c>
      <c r="R414">
        <v>0</v>
      </c>
      <c r="S414" s="2" t="str">
        <f>TEXT(data[[#This Row],[Date]],"mmm yyyy")</f>
        <v>Nov 2025</v>
      </c>
      <c r="T414" s="8">
        <f>data[[#This Row],[Profit]]/data[[#This Row],[Revenue]]</f>
        <v>0.28181718664477284</v>
      </c>
    </row>
    <row r="415" spans="1:20" x14ac:dyDescent="0.3">
      <c r="A415">
        <v>10413</v>
      </c>
      <c r="B415" t="s">
        <v>110</v>
      </c>
      <c r="C415" t="s">
        <v>609</v>
      </c>
      <c r="D415" t="s">
        <v>623</v>
      </c>
      <c r="E415" t="s">
        <v>626</v>
      </c>
      <c r="F415" t="s">
        <v>1035</v>
      </c>
      <c r="G415" t="s">
        <v>1763</v>
      </c>
      <c r="H415" t="s">
        <v>1769</v>
      </c>
      <c r="I415" t="s">
        <v>1773</v>
      </c>
      <c r="J415" t="s">
        <v>1778</v>
      </c>
      <c r="K415">
        <v>14</v>
      </c>
      <c r="L415" s="2">
        <v>225</v>
      </c>
      <c r="M415">
        <v>0.1</v>
      </c>
      <c r="N415" s="2">
        <v>161.47999999999999</v>
      </c>
      <c r="O415" s="2">
        <v>2835</v>
      </c>
      <c r="P415" s="2">
        <v>2260.7199999999998</v>
      </c>
      <c r="Q415" s="2">
        <v>574.28</v>
      </c>
      <c r="R415">
        <v>0</v>
      </c>
      <c r="S415" s="2" t="str">
        <f>TEXT(data[[#This Row],[Date]],"mmm yyyy")</f>
        <v>Jan 2024</v>
      </c>
      <c r="T415" s="8">
        <f>data[[#This Row],[Profit]]/data[[#This Row],[Revenue]]</f>
        <v>0.20256790123456789</v>
      </c>
    </row>
    <row r="416" spans="1:20" x14ac:dyDescent="0.3">
      <c r="A416">
        <v>10414</v>
      </c>
      <c r="B416" t="s">
        <v>337</v>
      </c>
      <c r="C416" t="s">
        <v>606</v>
      </c>
      <c r="D416" t="s">
        <v>610</v>
      </c>
      <c r="E416" t="s">
        <v>627</v>
      </c>
      <c r="F416" t="s">
        <v>944</v>
      </c>
      <c r="G416" t="s">
        <v>1761</v>
      </c>
      <c r="H416" t="s">
        <v>1772</v>
      </c>
      <c r="I416" t="s">
        <v>1773</v>
      </c>
      <c r="J416" t="s">
        <v>1778</v>
      </c>
      <c r="K416">
        <v>9</v>
      </c>
      <c r="L416" s="2">
        <v>878</v>
      </c>
      <c r="M416">
        <v>0.2</v>
      </c>
      <c r="N416" s="2">
        <v>470.1</v>
      </c>
      <c r="O416" s="2">
        <v>6321.6</v>
      </c>
      <c r="P416" s="2">
        <v>4230.8999999999996</v>
      </c>
      <c r="Q416" s="2">
        <v>2090.6999999999998</v>
      </c>
      <c r="R416">
        <v>0</v>
      </c>
      <c r="S416" s="2" t="str">
        <f>TEXT(data[[#This Row],[Date]],"mmm yyyy")</f>
        <v>Jun 2024</v>
      </c>
      <c r="T416" s="8">
        <f>data[[#This Row],[Profit]]/data[[#This Row],[Revenue]]</f>
        <v>0.33072323462414571</v>
      </c>
    </row>
    <row r="417" spans="1:20" x14ac:dyDescent="0.3">
      <c r="A417">
        <v>10415</v>
      </c>
      <c r="B417" t="s">
        <v>325</v>
      </c>
      <c r="C417" t="s">
        <v>609</v>
      </c>
      <c r="D417" t="s">
        <v>619</v>
      </c>
      <c r="E417" t="s">
        <v>627</v>
      </c>
      <c r="F417" t="s">
        <v>1036</v>
      </c>
      <c r="G417" t="s">
        <v>1760</v>
      </c>
      <c r="H417" t="s">
        <v>1767</v>
      </c>
      <c r="I417" t="s">
        <v>1773</v>
      </c>
      <c r="J417" t="s">
        <v>1778</v>
      </c>
      <c r="K417">
        <v>18</v>
      </c>
      <c r="L417" s="2">
        <v>198</v>
      </c>
      <c r="M417">
        <v>0</v>
      </c>
      <c r="N417" s="2">
        <v>135.01</v>
      </c>
      <c r="O417" s="2">
        <v>3564</v>
      </c>
      <c r="P417" s="2">
        <v>2430.1799999999998</v>
      </c>
      <c r="Q417" s="2">
        <v>1133.82</v>
      </c>
      <c r="R417">
        <v>0</v>
      </c>
      <c r="S417" s="2" t="str">
        <f>TEXT(data[[#This Row],[Date]],"mmm yyyy")</f>
        <v>Mar 2025</v>
      </c>
      <c r="T417" s="8">
        <f>data[[#This Row],[Profit]]/data[[#This Row],[Revenue]]</f>
        <v>0.3181313131313131</v>
      </c>
    </row>
    <row r="418" spans="1:20" x14ac:dyDescent="0.3">
      <c r="A418">
        <v>10416</v>
      </c>
      <c r="B418" t="s">
        <v>297</v>
      </c>
      <c r="C418" t="s">
        <v>608</v>
      </c>
      <c r="D418" t="s">
        <v>614</v>
      </c>
      <c r="E418" t="s">
        <v>626</v>
      </c>
      <c r="F418" t="s">
        <v>1037</v>
      </c>
      <c r="G418" t="s">
        <v>1759</v>
      </c>
      <c r="H418" t="s">
        <v>1767</v>
      </c>
      <c r="I418" t="s">
        <v>1773</v>
      </c>
      <c r="J418" t="s">
        <v>1777</v>
      </c>
      <c r="K418">
        <v>13</v>
      </c>
      <c r="L418" s="2">
        <v>230</v>
      </c>
      <c r="M418">
        <v>0.15</v>
      </c>
      <c r="N418" s="2">
        <v>134.29</v>
      </c>
      <c r="O418" s="2">
        <v>2541.5</v>
      </c>
      <c r="P418" s="2">
        <v>1745.77</v>
      </c>
      <c r="Q418" s="2">
        <v>795.73</v>
      </c>
      <c r="R418">
        <v>0</v>
      </c>
      <c r="S418" s="2" t="str">
        <f>TEXT(data[[#This Row],[Date]],"mmm yyyy")</f>
        <v>Aug 2024</v>
      </c>
      <c r="T418" s="8">
        <f>data[[#This Row],[Profit]]/data[[#This Row],[Revenue]]</f>
        <v>0.31309462915601022</v>
      </c>
    </row>
    <row r="419" spans="1:20" x14ac:dyDescent="0.3">
      <c r="A419">
        <v>10417</v>
      </c>
      <c r="B419" t="s">
        <v>338</v>
      </c>
      <c r="C419" t="s">
        <v>608</v>
      </c>
      <c r="D419" t="s">
        <v>614</v>
      </c>
      <c r="E419" t="s">
        <v>629</v>
      </c>
      <c r="F419" t="s">
        <v>1038</v>
      </c>
      <c r="G419" t="s">
        <v>1764</v>
      </c>
      <c r="H419" t="s">
        <v>1772</v>
      </c>
      <c r="I419" t="s">
        <v>1773</v>
      </c>
      <c r="J419" t="s">
        <v>1777</v>
      </c>
      <c r="K419">
        <v>11</v>
      </c>
      <c r="L419" s="2">
        <v>584</v>
      </c>
      <c r="M419">
        <v>0</v>
      </c>
      <c r="N419" s="2">
        <v>341.47</v>
      </c>
      <c r="O419" s="2">
        <v>6424</v>
      </c>
      <c r="P419" s="2">
        <v>3756.17</v>
      </c>
      <c r="Q419" s="2">
        <v>2667.83</v>
      </c>
      <c r="R419">
        <v>0</v>
      </c>
      <c r="S419" s="2" t="str">
        <f>TEXT(data[[#This Row],[Date]],"mmm yyyy")</f>
        <v>Mar 2025</v>
      </c>
      <c r="T419" s="8">
        <f>data[[#This Row],[Profit]]/data[[#This Row],[Revenue]]</f>
        <v>0.41529109589041097</v>
      </c>
    </row>
    <row r="420" spans="1:20" x14ac:dyDescent="0.3">
      <c r="A420">
        <v>10418</v>
      </c>
      <c r="B420" t="s">
        <v>339</v>
      </c>
      <c r="C420" t="s">
        <v>608</v>
      </c>
      <c r="D420" t="s">
        <v>612</v>
      </c>
      <c r="E420" t="s">
        <v>626</v>
      </c>
      <c r="F420" t="s">
        <v>1039</v>
      </c>
      <c r="G420" t="s">
        <v>1761</v>
      </c>
      <c r="H420" t="s">
        <v>1767</v>
      </c>
      <c r="I420" t="s">
        <v>1774</v>
      </c>
      <c r="J420" t="s">
        <v>1777</v>
      </c>
      <c r="K420">
        <v>4</v>
      </c>
      <c r="L420" s="2">
        <v>163</v>
      </c>
      <c r="M420">
        <v>0.2</v>
      </c>
      <c r="N420" s="2">
        <v>98.98</v>
      </c>
      <c r="O420" s="2">
        <v>521.6</v>
      </c>
      <c r="P420" s="2">
        <v>395.92</v>
      </c>
      <c r="Q420" s="2">
        <v>125.68</v>
      </c>
      <c r="R420">
        <v>0</v>
      </c>
      <c r="S420" s="2" t="str">
        <f>TEXT(data[[#This Row],[Date]],"mmm yyyy")</f>
        <v>Aug 2025</v>
      </c>
      <c r="T420" s="8">
        <f>data[[#This Row],[Profit]]/data[[#This Row],[Revenue]]</f>
        <v>0.24095092024539877</v>
      </c>
    </row>
    <row r="421" spans="1:20" x14ac:dyDescent="0.3">
      <c r="A421">
        <v>10419</v>
      </c>
      <c r="B421" t="s">
        <v>226</v>
      </c>
      <c r="C421" t="s">
        <v>609</v>
      </c>
      <c r="D421" t="s">
        <v>623</v>
      </c>
      <c r="E421" t="s">
        <v>628</v>
      </c>
      <c r="F421" t="s">
        <v>1040</v>
      </c>
      <c r="G421" t="s">
        <v>1759</v>
      </c>
      <c r="H421" t="s">
        <v>1769</v>
      </c>
      <c r="I421" t="s">
        <v>1774</v>
      </c>
      <c r="J421" t="s">
        <v>1777</v>
      </c>
      <c r="K421">
        <v>11</v>
      </c>
      <c r="L421" s="2">
        <v>170</v>
      </c>
      <c r="M421">
        <v>0</v>
      </c>
      <c r="N421" s="2">
        <v>89.35</v>
      </c>
      <c r="O421" s="2">
        <v>1870</v>
      </c>
      <c r="P421" s="2">
        <v>982.85</v>
      </c>
      <c r="Q421" s="2">
        <v>887.15</v>
      </c>
      <c r="R421">
        <v>0</v>
      </c>
      <c r="S421" s="2" t="str">
        <f>TEXT(data[[#This Row],[Date]],"mmm yyyy")</f>
        <v>Jun 2025</v>
      </c>
      <c r="T421" s="8">
        <f>data[[#This Row],[Profit]]/data[[#This Row],[Revenue]]</f>
        <v>0.47441176470588237</v>
      </c>
    </row>
    <row r="422" spans="1:20" x14ac:dyDescent="0.3">
      <c r="A422">
        <v>10420</v>
      </c>
      <c r="B422" t="s">
        <v>340</v>
      </c>
      <c r="C422" t="s">
        <v>607</v>
      </c>
      <c r="D422" t="s">
        <v>617</v>
      </c>
      <c r="E422" t="s">
        <v>627</v>
      </c>
      <c r="F422" t="s">
        <v>1041</v>
      </c>
      <c r="G422" t="s">
        <v>1761</v>
      </c>
      <c r="H422" t="s">
        <v>1770</v>
      </c>
      <c r="I422" t="s">
        <v>1773</v>
      </c>
      <c r="J422" t="s">
        <v>1779</v>
      </c>
      <c r="K422">
        <v>3</v>
      </c>
      <c r="L422" s="2">
        <v>864</v>
      </c>
      <c r="M422">
        <v>0.05</v>
      </c>
      <c r="N422" s="2">
        <v>626.96</v>
      </c>
      <c r="O422" s="2">
        <v>2462.4</v>
      </c>
      <c r="P422" s="2">
        <v>1880.88</v>
      </c>
      <c r="Q422" s="2">
        <v>581.52</v>
      </c>
      <c r="R422">
        <v>0</v>
      </c>
      <c r="S422" s="2" t="str">
        <f>TEXT(data[[#This Row],[Date]],"mmm yyyy")</f>
        <v>Dec 2025</v>
      </c>
      <c r="T422" s="8">
        <f>data[[#This Row],[Profit]]/data[[#This Row],[Revenue]]</f>
        <v>0.23615984405458088</v>
      </c>
    </row>
    <row r="423" spans="1:20" x14ac:dyDescent="0.3">
      <c r="A423">
        <v>10421</v>
      </c>
      <c r="B423" t="s">
        <v>297</v>
      </c>
      <c r="C423" t="s">
        <v>609</v>
      </c>
      <c r="D423" t="s">
        <v>623</v>
      </c>
      <c r="E423" t="s">
        <v>626</v>
      </c>
      <c r="F423" t="s">
        <v>1042</v>
      </c>
      <c r="G423" t="s">
        <v>1763</v>
      </c>
      <c r="H423" t="s">
        <v>1772</v>
      </c>
      <c r="I423" t="s">
        <v>1774</v>
      </c>
      <c r="J423" t="s">
        <v>1779</v>
      </c>
      <c r="K423">
        <v>8</v>
      </c>
      <c r="L423" s="2">
        <v>843</v>
      </c>
      <c r="M423">
        <v>0.1</v>
      </c>
      <c r="N423" s="2">
        <v>560.9</v>
      </c>
      <c r="O423" s="2">
        <v>6069.6</v>
      </c>
      <c r="P423" s="2">
        <v>4487.2</v>
      </c>
      <c r="Q423" s="2">
        <v>1582.4</v>
      </c>
      <c r="R423">
        <v>0</v>
      </c>
      <c r="S423" s="2" t="str">
        <f>TEXT(data[[#This Row],[Date]],"mmm yyyy")</f>
        <v>Aug 2024</v>
      </c>
      <c r="T423" s="8">
        <f>data[[#This Row],[Profit]]/data[[#This Row],[Revenue]]</f>
        <v>0.26070910768419664</v>
      </c>
    </row>
    <row r="424" spans="1:20" x14ac:dyDescent="0.3">
      <c r="A424">
        <v>10422</v>
      </c>
      <c r="B424" t="s">
        <v>47</v>
      </c>
      <c r="C424" t="s">
        <v>609</v>
      </c>
      <c r="D424" t="s">
        <v>613</v>
      </c>
      <c r="E424" t="s">
        <v>626</v>
      </c>
      <c r="F424" t="s">
        <v>1043</v>
      </c>
      <c r="G424" t="s">
        <v>1764</v>
      </c>
      <c r="H424" t="s">
        <v>1768</v>
      </c>
      <c r="I424" t="s">
        <v>1775</v>
      </c>
      <c r="J424" t="s">
        <v>1777</v>
      </c>
      <c r="K424">
        <v>2</v>
      </c>
      <c r="L424" s="2">
        <v>872</v>
      </c>
      <c r="M424">
        <v>0.2</v>
      </c>
      <c r="N424" s="2">
        <v>477.84</v>
      </c>
      <c r="O424" s="2">
        <v>1395.2</v>
      </c>
      <c r="P424" s="2">
        <v>955.68</v>
      </c>
      <c r="Q424" s="2">
        <v>439.52</v>
      </c>
      <c r="R424">
        <v>0</v>
      </c>
      <c r="S424" s="2" t="str">
        <f>TEXT(data[[#This Row],[Date]],"mmm yyyy")</f>
        <v>Oct 2025</v>
      </c>
      <c r="T424" s="8">
        <f>data[[#This Row],[Profit]]/data[[#This Row],[Revenue]]</f>
        <v>0.31502293577981649</v>
      </c>
    </row>
    <row r="425" spans="1:20" x14ac:dyDescent="0.3">
      <c r="A425">
        <v>10423</v>
      </c>
      <c r="B425" t="s">
        <v>341</v>
      </c>
      <c r="C425" t="s">
        <v>609</v>
      </c>
      <c r="D425" t="s">
        <v>619</v>
      </c>
      <c r="E425" t="s">
        <v>627</v>
      </c>
      <c r="F425" t="s">
        <v>1044</v>
      </c>
      <c r="G425" t="s">
        <v>1764</v>
      </c>
      <c r="H425" t="s">
        <v>1769</v>
      </c>
      <c r="I425" t="s">
        <v>1775</v>
      </c>
      <c r="J425" t="s">
        <v>1777</v>
      </c>
      <c r="K425">
        <v>10</v>
      </c>
      <c r="L425" s="2">
        <v>379</v>
      </c>
      <c r="M425">
        <v>0</v>
      </c>
      <c r="N425" s="2">
        <v>277.99</v>
      </c>
      <c r="O425" s="2">
        <v>3790</v>
      </c>
      <c r="P425" s="2">
        <v>2779.9</v>
      </c>
      <c r="Q425" s="2">
        <v>1010.1</v>
      </c>
      <c r="R425">
        <v>1</v>
      </c>
      <c r="S425" s="2" t="str">
        <f>TEXT(data[[#This Row],[Date]],"mmm yyyy")</f>
        <v>May 2024</v>
      </c>
      <c r="T425" s="8">
        <f>data[[#This Row],[Profit]]/data[[#This Row],[Revenue]]</f>
        <v>0.26651715039577839</v>
      </c>
    </row>
    <row r="426" spans="1:20" x14ac:dyDescent="0.3">
      <c r="A426">
        <v>10424</v>
      </c>
      <c r="B426" t="s">
        <v>342</v>
      </c>
      <c r="C426" t="s">
        <v>609</v>
      </c>
      <c r="D426" t="s">
        <v>613</v>
      </c>
      <c r="E426" t="s">
        <v>627</v>
      </c>
      <c r="F426" t="s">
        <v>1045</v>
      </c>
      <c r="G426" t="s">
        <v>1766</v>
      </c>
      <c r="H426" t="s">
        <v>1769</v>
      </c>
      <c r="I426" t="s">
        <v>1773</v>
      </c>
      <c r="J426" t="s">
        <v>1778</v>
      </c>
      <c r="K426">
        <v>3</v>
      </c>
      <c r="L426" s="2">
        <v>173</v>
      </c>
      <c r="M426">
        <v>0</v>
      </c>
      <c r="N426" s="2">
        <v>121.18</v>
      </c>
      <c r="O426" s="2">
        <v>519</v>
      </c>
      <c r="P426" s="2">
        <v>363.54</v>
      </c>
      <c r="Q426" s="2">
        <v>155.46</v>
      </c>
      <c r="R426">
        <v>0</v>
      </c>
      <c r="S426" s="2" t="str">
        <f>TEXT(data[[#This Row],[Date]],"mmm yyyy")</f>
        <v>Feb 2024</v>
      </c>
      <c r="T426" s="8">
        <f>data[[#This Row],[Profit]]/data[[#This Row],[Revenue]]</f>
        <v>0.29953757225433525</v>
      </c>
    </row>
    <row r="427" spans="1:20" x14ac:dyDescent="0.3">
      <c r="A427">
        <v>10425</v>
      </c>
      <c r="B427" t="s">
        <v>187</v>
      </c>
      <c r="C427" t="s">
        <v>607</v>
      </c>
      <c r="D427" t="s">
        <v>617</v>
      </c>
      <c r="E427" t="s">
        <v>628</v>
      </c>
      <c r="F427" t="s">
        <v>1046</v>
      </c>
      <c r="G427" t="s">
        <v>1765</v>
      </c>
      <c r="H427" t="s">
        <v>1771</v>
      </c>
      <c r="I427" t="s">
        <v>1774</v>
      </c>
      <c r="J427" t="s">
        <v>1778</v>
      </c>
      <c r="K427">
        <v>15</v>
      </c>
      <c r="L427" s="2">
        <v>524</v>
      </c>
      <c r="M427">
        <v>0.05</v>
      </c>
      <c r="N427" s="2">
        <v>262.47000000000003</v>
      </c>
      <c r="O427" s="2">
        <v>7467</v>
      </c>
      <c r="P427" s="2">
        <v>3937.05</v>
      </c>
      <c r="Q427" s="2">
        <v>3529.95</v>
      </c>
      <c r="R427">
        <v>0</v>
      </c>
      <c r="S427" s="2" t="str">
        <f>TEXT(data[[#This Row],[Date]],"mmm yyyy")</f>
        <v>Jul 2025</v>
      </c>
      <c r="T427" s="8">
        <f>data[[#This Row],[Profit]]/data[[#This Row],[Revenue]]</f>
        <v>0.47274005624748894</v>
      </c>
    </row>
    <row r="428" spans="1:20" x14ac:dyDescent="0.3">
      <c r="A428">
        <v>10426</v>
      </c>
      <c r="B428" t="s">
        <v>140</v>
      </c>
      <c r="C428" t="s">
        <v>609</v>
      </c>
      <c r="D428" t="s">
        <v>622</v>
      </c>
      <c r="E428" t="s">
        <v>629</v>
      </c>
      <c r="F428" t="s">
        <v>1047</v>
      </c>
      <c r="G428" t="s">
        <v>1764</v>
      </c>
      <c r="H428" t="s">
        <v>1767</v>
      </c>
      <c r="I428" t="s">
        <v>1774</v>
      </c>
      <c r="J428" t="s">
        <v>1777</v>
      </c>
      <c r="K428">
        <v>8</v>
      </c>
      <c r="L428" s="2">
        <v>103</v>
      </c>
      <c r="M428">
        <v>0</v>
      </c>
      <c r="N428" s="2">
        <v>55.44</v>
      </c>
      <c r="O428" s="2">
        <v>824</v>
      </c>
      <c r="P428" s="2">
        <v>443.52</v>
      </c>
      <c r="Q428" s="2">
        <v>380.48</v>
      </c>
      <c r="R428">
        <v>0</v>
      </c>
      <c r="S428" s="2" t="str">
        <f>TEXT(data[[#This Row],[Date]],"mmm yyyy")</f>
        <v>Mar 2024</v>
      </c>
      <c r="T428" s="8">
        <f>data[[#This Row],[Profit]]/data[[#This Row],[Revenue]]</f>
        <v>0.46174757281553402</v>
      </c>
    </row>
    <row r="429" spans="1:20" x14ac:dyDescent="0.3">
      <c r="A429">
        <v>10427</v>
      </c>
      <c r="B429" t="s">
        <v>343</v>
      </c>
      <c r="C429" t="s">
        <v>606</v>
      </c>
      <c r="D429" t="s">
        <v>610</v>
      </c>
      <c r="E429" t="s">
        <v>629</v>
      </c>
      <c r="F429" t="s">
        <v>1048</v>
      </c>
      <c r="G429" t="s">
        <v>1765</v>
      </c>
      <c r="H429" t="s">
        <v>1767</v>
      </c>
      <c r="I429" t="s">
        <v>1774</v>
      </c>
      <c r="J429" t="s">
        <v>1776</v>
      </c>
      <c r="K429">
        <v>11</v>
      </c>
      <c r="L429" s="2">
        <v>266</v>
      </c>
      <c r="M429">
        <v>0.05</v>
      </c>
      <c r="N429" s="2">
        <v>157.85</v>
      </c>
      <c r="O429" s="2">
        <v>2779.7</v>
      </c>
      <c r="P429" s="2">
        <v>1736.35</v>
      </c>
      <c r="Q429" s="2">
        <v>1043.3499999999999</v>
      </c>
      <c r="R429">
        <v>0</v>
      </c>
      <c r="S429" s="2" t="str">
        <f>TEXT(data[[#This Row],[Date]],"mmm yyyy")</f>
        <v>Sep 2025</v>
      </c>
      <c r="T429" s="8">
        <f>data[[#This Row],[Profit]]/data[[#This Row],[Revenue]]</f>
        <v>0.3753462603878116</v>
      </c>
    </row>
    <row r="430" spans="1:20" x14ac:dyDescent="0.3">
      <c r="A430">
        <v>10428</v>
      </c>
      <c r="B430" t="s">
        <v>47</v>
      </c>
      <c r="C430" t="s">
        <v>607</v>
      </c>
      <c r="D430" t="s">
        <v>611</v>
      </c>
      <c r="E430" t="s">
        <v>628</v>
      </c>
      <c r="F430" t="s">
        <v>1049</v>
      </c>
      <c r="G430" t="s">
        <v>1764</v>
      </c>
      <c r="H430" t="s">
        <v>1770</v>
      </c>
      <c r="I430" t="s">
        <v>1773</v>
      </c>
      <c r="J430" t="s">
        <v>1779</v>
      </c>
      <c r="K430">
        <v>2</v>
      </c>
      <c r="L430" s="2">
        <v>589</v>
      </c>
      <c r="M430">
        <v>0.2</v>
      </c>
      <c r="N430" s="2">
        <v>337.67</v>
      </c>
      <c r="O430" s="2">
        <v>942.4</v>
      </c>
      <c r="P430" s="2">
        <v>675.34</v>
      </c>
      <c r="Q430" s="2">
        <v>267.06</v>
      </c>
      <c r="R430">
        <v>0</v>
      </c>
      <c r="S430" s="2" t="str">
        <f>TEXT(data[[#This Row],[Date]],"mmm yyyy")</f>
        <v>Oct 2025</v>
      </c>
      <c r="T430" s="8">
        <f>data[[#This Row],[Profit]]/data[[#This Row],[Revenue]]</f>
        <v>0.28338285229202037</v>
      </c>
    </row>
    <row r="431" spans="1:20" x14ac:dyDescent="0.3">
      <c r="A431">
        <v>10429</v>
      </c>
      <c r="B431" t="s">
        <v>127</v>
      </c>
      <c r="C431" t="s">
        <v>606</v>
      </c>
      <c r="D431" t="s">
        <v>625</v>
      </c>
      <c r="E431" t="s">
        <v>629</v>
      </c>
      <c r="F431" t="s">
        <v>1050</v>
      </c>
      <c r="G431" t="s">
        <v>1764</v>
      </c>
      <c r="H431" t="s">
        <v>1767</v>
      </c>
      <c r="I431" t="s">
        <v>1775</v>
      </c>
      <c r="J431" t="s">
        <v>1776</v>
      </c>
      <c r="K431">
        <v>2</v>
      </c>
      <c r="L431" s="2">
        <v>292</v>
      </c>
      <c r="M431">
        <v>0.1</v>
      </c>
      <c r="N431" s="2">
        <v>181.23</v>
      </c>
      <c r="O431" s="2">
        <v>525.6</v>
      </c>
      <c r="P431" s="2">
        <v>362.46</v>
      </c>
      <c r="Q431" s="2">
        <v>163.13999999999999</v>
      </c>
      <c r="R431">
        <v>0</v>
      </c>
      <c r="S431" s="2" t="str">
        <f>TEXT(data[[#This Row],[Date]],"mmm yyyy")</f>
        <v>Apr 2025</v>
      </c>
      <c r="T431" s="8">
        <f>data[[#This Row],[Profit]]/data[[#This Row],[Revenue]]</f>
        <v>0.31038812785388126</v>
      </c>
    </row>
    <row r="432" spans="1:20" x14ac:dyDescent="0.3">
      <c r="A432">
        <v>10430</v>
      </c>
      <c r="B432" t="s">
        <v>87</v>
      </c>
      <c r="C432" t="s">
        <v>606</v>
      </c>
      <c r="D432" t="s">
        <v>610</v>
      </c>
      <c r="E432" t="s">
        <v>626</v>
      </c>
      <c r="F432" t="s">
        <v>1051</v>
      </c>
      <c r="G432" t="s">
        <v>1766</v>
      </c>
      <c r="H432" t="s">
        <v>1771</v>
      </c>
      <c r="I432" t="s">
        <v>1775</v>
      </c>
      <c r="J432" t="s">
        <v>1776</v>
      </c>
      <c r="K432">
        <v>9</v>
      </c>
      <c r="L432" s="2">
        <v>521</v>
      </c>
      <c r="M432">
        <v>0.1</v>
      </c>
      <c r="N432" s="2">
        <v>350.83</v>
      </c>
      <c r="O432" s="2">
        <v>4220.1000000000004</v>
      </c>
      <c r="P432" s="2">
        <v>3157.47</v>
      </c>
      <c r="Q432" s="2">
        <v>1062.6300000000001</v>
      </c>
      <c r="R432">
        <v>0</v>
      </c>
      <c r="S432" s="2" t="str">
        <f>TEXT(data[[#This Row],[Date]],"mmm yyyy")</f>
        <v>Jul 2025</v>
      </c>
      <c r="T432" s="8">
        <f>data[[#This Row],[Profit]]/data[[#This Row],[Revenue]]</f>
        <v>0.25180208999786735</v>
      </c>
    </row>
    <row r="433" spans="1:20" x14ac:dyDescent="0.3">
      <c r="A433">
        <v>10431</v>
      </c>
      <c r="B433" t="s">
        <v>344</v>
      </c>
      <c r="C433" t="s">
        <v>607</v>
      </c>
      <c r="D433" t="s">
        <v>617</v>
      </c>
      <c r="E433" t="s">
        <v>626</v>
      </c>
      <c r="F433" t="s">
        <v>1052</v>
      </c>
      <c r="G433" t="s">
        <v>1759</v>
      </c>
      <c r="H433" t="s">
        <v>1771</v>
      </c>
      <c r="I433" t="s">
        <v>1775</v>
      </c>
      <c r="J433" t="s">
        <v>1779</v>
      </c>
      <c r="K433">
        <v>11</v>
      </c>
      <c r="L433" s="2">
        <v>474</v>
      </c>
      <c r="M433">
        <v>0.15</v>
      </c>
      <c r="N433" s="2">
        <v>249.87</v>
      </c>
      <c r="O433" s="2">
        <v>4431.8999999999996</v>
      </c>
      <c r="P433" s="2">
        <v>2748.57</v>
      </c>
      <c r="Q433" s="2">
        <v>1683.33</v>
      </c>
      <c r="R433">
        <v>0</v>
      </c>
      <c r="S433" s="2" t="str">
        <f>TEXT(data[[#This Row],[Date]],"mmm yyyy")</f>
        <v>May 2025</v>
      </c>
      <c r="T433" s="8">
        <f>data[[#This Row],[Profit]]/data[[#This Row],[Revenue]]</f>
        <v>0.37982129560685035</v>
      </c>
    </row>
    <row r="434" spans="1:20" x14ac:dyDescent="0.3">
      <c r="A434">
        <v>10432</v>
      </c>
      <c r="B434" t="s">
        <v>345</v>
      </c>
      <c r="C434" t="s">
        <v>609</v>
      </c>
      <c r="D434" t="s">
        <v>613</v>
      </c>
      <c r="E434" t="s">
        <v>627</v>
      </c>
      <c r="F434" t="s">
        <v>1053</v>
      </c>
      <c r="G434" t="s">
        <v>1766</v>
      </c>
      <c r="H434" t="s">
        <v>1772</v>
      </c>
      <c r="I434" t="s">
        <v>1775</v>
      </c>
      <c r="J434" t="s">
        <v>1776</v>
      </c>
      <c r="K434">
        <v>15</v>
      </c>
      <c r="L434" s="2">
        <v>930</v>
      </c>
      <c r="M434">
        <v>0.1</v>
      </c>
      <c r="N434" s="2">
        <v>562.94000000000005</v>
      </c>
      <c r="O434" s="2">
        <v>12555</v>
      </c>
      <c r="P434" s="2">
        <v>8444.1</v>
      </c>
      <c r="Q434" s="2">
        <v>4110.8999999999996</v>
      </c>
      <c r="R434">
        <v>0</v>
      </c>
      <c r="S434" s="2" t="str">
        <f>TEXT(data[[#This Row],[Date]],"mmm yyyy")</f>
        <v>Jun 2024</v>
      </c>
      <c r="T434" s="8">
        <f>data[[#This Row],[Profit]]/data[[#This Row],[Revenue]]</f>
        <v>0.32743130227001194</v>
      </c>
    </row>
    <row r="435" spans="1:20" x14ac:dyDescent="0.3">
      <c r="A435">
        <v>10433</v>
      </c>
      <c r="B435" t="s">
        <v>130</v>
      </c>
      <c r="C435" t="s">
        <v>608</v>
      </c>
      <c r="D435" t="s">
        <v>612</v>
      </c>
      <c r="E435" t="s">
        <v>626</v>
      </c>
      <c r="F435" t="s">
        <v>1054</v>
      </c>
      <c r="G435" t="s">
        <v>1762</v>
      </c>
      <c r="H435" t="s">
        <v>1768</v>
      </c>
      <c r="I435" t="s">
        <v>1775</v>
      </c>
      <c r="J435" t="s">
        <v>1779</v>
      </c>
      <c r="K435">
        <v>2</v>
      </c>
      <c r="L435" s="2">
        <v>977</v>
      </c>
      <c r="M435">
        <v>0.15</v>
      </c>
      <c r="N435" s="2">
        <v>592.07000000000005</v>
      </c>
      <c r="O435" s="2">
        <v>1660.9</v>
      </c>
      <c r="P435" s="2">
        <v>1184.1400000000001</v>
      </c>
      <c r="Q435" s="2">
        <v>476.76</v>
      </c>
      <c r="R435">
        <v>0</v>
      </c>
      <c r="S435" s="2" t="str">
        <f>TEXT(data[[#This Row],[Date]],"mmm yyyy")</f>
        <v>Jan 2025</v>
      </c>
      <c r="T435" s="8">
        <f>data[[#This Row],[Profit]]/data[[#This Row],[Revenue]]</f>
        <v>0.28704919019808534</v>
      </c>
    </row>
    <row r="436" spans="1:20" x14ac:dyDescent="0.3">
      <c r="A436">
        <v>10434</v>
      </c>
      <c r="B436" t="s">
        <v>346</v>
      </c>
      <c r="C436" t="s">
        <v>606</v>
      </c>
      <c r="D436" t="s">
        <v>620</v>
      </c>
      <c r="E436" t="s">
        <v>629</v>
      </c>
      <c r="F436" t="s">
        <v>1055</v>
      </c>
      <c r="G436" t="s">
        <v>1765</v>
      </c>
      <c r="H436" t="s">
        <v>1767</v>
      </c>
      <c r="I436" t="s">
        <v>1774</v>
      </c>
      <c r="J436" t="s">
        <v>1776</v>
      </c>
      <c r="K436">
        <v>6</v>
      </c>
      <c r="L436" s="2">
        <v>179</v>
      </c>
      <c r="M436">
        <v>0.15</v>
      </c>
      <c r="N436" s="2">
        <v>124.5</v>
      </c>
      <c r="O436" s="2">
        <v>912.9</v>
      </c>
      <c r="P436" s="2">
        <v>747</v>
      </c>
      <c r="Q436" s="2">
        <v>165.9</v>
      </c>
      <c r="R436">
        <v>0</v>
      </c>
      <c r="S436" s="2" t="str">
        <f>TEXT(data[[#This Row],[Date]],"mmm yyyy")</f>
        <v>Apr 2024</v>
      </c>
      <c r="T436" s="8">
        <f>data[[#This Row],[Profit]]/data[[#This Row],[Revenue]]</f>
        <v>0.18172855734472562</v>
      </c>
    </row>
    <row r="437" spans="1:20" x14ac:dyDescent="0.3">
      <c r="A437">
        <v>10435</v>
      </c>
      <c r="B437" t="s">
        <v>271</v>
      </c>
      <c r="C437" t="s">
        <v>608</v>
      </c>
      <c r="D437" t="s">
        <v>618</v>
      </c>
      <c r="E437" t="s">
        <v>627</v>
      </c>
      <c r="F437" t="s">
        <v>1056</v>
      </c>
      <c r="G437" t="s">
        <v>1764</v>
      </c>
      <c r="H437" t="s">
        <v>1768</v>
      </c>
      <c r="I437" t="s">
        <v>1774</v>
      </c>
      <c r="J437" t="s">
        <v>1778</v>
      </c>
      <c r="K437">
        <v>19</v>
      </c>
      <c r="L437" s="2">
        <v>1393</v>
      </c>
      <c r="M437">
        <v>0.2</v>
      </c>
      <c r="N437" s="2">
        <v>777.2</v>
      </c>
      <c r="O437" s="2">
        <v>21173.599999999999</v>
      </c>
      <c r="P437" s="2">
        <v>14766.8</v>
      </c>
      <c r="Q437" s="2">
        <v>6406.8</v>
      </c>
      <c r="R437">
        <v>0</v>
      </c>
      <c r="S437" s="2" t="str">
        <f>TEXT(data[[#This Row],[Date]],"mmm yyyy")</f>
        <v>Jul 2024</v>
      </c>
      <c r="T437" s="8">
        <f>data[[#This Row],[Profit]]/data[[#This Row],[Revenue]]</f>
        <v>0.30258435032304382</v>
      </c>
    </row>
    <row r="438" spans="1:20" x14ac:dyDescent="0.3">
      <c r="A438">
        <v>10436</v>
      </c>
      <c r="B438" t="s">
        <v>347</v>
      </c>
      <c r="C438" t="s">
        <v>609</v>
      </c>
      <c r="D438" t="s">
        <v>622</v>
      </c>
      <c r="E438" t="s">
        <v>627</v>
      </c>
      <c r="F438" t="s">
        <v>1057</v>
      </c>
      <c r="G438" t="s">
        <v>1764</v>
      </c>
      <c r="H438" t="s">
        <v>1769</v>
      </c>
      <c r="I438" t="s">
        <v>1775</v>
      </c>
      <c r="J438" t="s">
        <v>1779</v>
      </c>
      <c r="K438">
        <v>17</v>
      </c>
      <c r="L438" s="2">
        <v>316</v>
      </c>
      <c r="M438">
        <v>0.2</v>
      </c>
      <c r="N438" s="2">
        <v>165.11</v>
      </c>
      <c r="O438" s="2">
        <v>4297.6000000000004</v>
      </c>
      <c r="P438" s="2">
        <v>2806.87</v>
      </c>
      <c r="Q438" s="2">
        <v>1490.73</v>
      </c>
      <c r="R438">
        <v>1</v>
      </c>
      <c r="S438" s="2" t="str">
        <f>TEXT(data[[#This Row],[Date]],"mmm yyyy")</f>
        <v>May 2024</v>
      </c>
      <c r="T438" s="8">
        <f>data[[#This Row],[Profit]]/data[[#This Row],[Revenue]]</f>
        <v>0.34687499999999999</v>
      </c>
    </row>
    <row r="439" spans="1:20" x14ac:dyDescent="0.3">
      <c r="A439">
        <v>10437</v>
      </c>
      <c r="B439" t="s">
        <v>348</v>
      </c>
      <c r="C439" t="s">
        <v>606</v>
      </c>
      <c r="D439" t="s">
        <v>620</v>
      </c>
      <c r="E439" t="s">
        <v>629</v>
      </c>
      <c r="F439" t="s">
        <v>1058</v>
      </c>
      <c r="G439" t="s">
        <v>1763</v>
      </c>
      <c r="H439" t="s">
        <v>1771</v>
      </c>
      <c r="I439" t="s">
        <v>1774</v>
      </c>
      <c r="J439" t="s">
        <v>1776</v>
      </c>
      <c r="K439">
        <v>11</v>
      </c>
      <c r="L439" s="2">
        <v>359</v>
      </c>
      <c r="M439">
        <v>0.15</v>
      </c>
      <c r="N439" s="2">
        <v>201.07</v>
      </c>
      <c r="O439" s="2">
        <v>3356.65</v>
      </c>
      <c r="P439" s="2">
        <v>2211.77</v>
      </c>
      <c r="Q439" s="2">
        <v>1144.8800000000001</v>
      </c>
      <c r="R439">
        <v>1</v>
      </c>
      <c r="S439" s="2" t="str">
        <f>TEXT(data[[#This Row],[Date]],"mmm yyyy")</f>
        <v>Sep 2024</v>
      </c>
      <c r="T439" s="8">
        <f>data[[#This Row],[Profit]]/data[[#This Row],[Revenue]]</f>
        <v>0.34107815828281174</v>
      </c>
    </row>
    <row r="440" spans="1:20" x14ac:dyDescent="0.3">
      <c r="A440">
        <v>10438</v>
      </c>
      <c r="B440" t="s">
        <v>349</v>
      </c>
      <c r="C440" t="s">
        <v>606</v>
      </c>
      <c r="D440" t="s">
        <v>625</v>
      </c>
      <c r="E440" t="s">
        <v>628</v>
      </c>
      <c r="F440" t="s">
        <v>1059</v>
      </c>
      <c r="G440" t="s">
        <v>1759</v>
      </c>
      <c r="H440" t="s">
        <v>1767</v>
      </c>
      <c r="I440" t="s">
        <v>1774</v>
      </c>
      <c r="J440" t="s">
        <v>1777</v>
      </c>
      <c r="K440">
        <v>16</v>
      </c>
      <c r="L440" s="2">
        <v>278</v>
      </c>
      <c r="M440">
        <v>0.15</v>
      </c>
      <c r="N440" s="2">
        <v>207.6</v>
      </c>
      <c r="O440" s="2">
        <v>3780.8</v>
      </c>
      <c r="P440" s="2">
        <v>3321.6</v>
      </c>
      <c r="Q440" s="2">
        <v>459.2</v>
      </c>
      <c r="R440">
        <v>0</v>
      </c>
      <c r="S440" s="2" t="str">
        <f>TEXT(data[[#This Row],[Date]],"mmm yyyy")</f>
        <v>Nov 2025</v>
      </c>
      <c r="T440" s="8">
        <f>data[[#This Row],[Profit]]/data[[#This Row],[Revenue]]</f>
        <v>0.12145577655522639</v>
      </c>
    </row>
    <row r="441" spans="1:20" x14ac:dyDescent="0.3">
      <c r="A441">
        <v>10439</v>
      </c>
      <c r="B441" t="s">
        <v>302</v>
      </c>
      <c r="C441" t="s">
        <v>607</v>
      </c>
      <c r="D441" t="s">
        <v>611</v>
      </c>
      <c r="E441" t="s">
        <v>628</v>
      </c>
      <c r="F441" t="s">
        <v>1060</v>
      </c>
      <c r="G441" t="s">
        <v>1760</v>
      </c>
      <c r="H441" t="s">
        <v>1771</v>
      </c>
      <c r="I441" t="s">
        <v>1773</v>
      </c>
      <c r="J441" t="s">
        <v>1776</v>
      </c>
      <c r="K441">
        <v>9</v>
      </c>
      <c r="L441" s="2">
        <v>353</v>
      </c>
      <c r="M441">
        <v>0.15</v>
      </c>
      <c r="N441" s="2">
        <v>259.35000000000002</v>
      </c>
      <c r="O441" s="2">
        <v>2700.45</v>
      </c>
      <c r="P441" s="2">
        <v>2334.15</v>
      </c>
      <c r="Q441" s="2">
        <v>366.3</v>
      </c>
      <c r="R441">
        <v>0</v>
      </c>
      <c r="S441" s="2" t="str">
        <f>TEXT(data[[#This Row],[Date]],"mmm yyyy")</f>
        <v>Nov 2024</v>
      </c>
      <c r="T441" s="8">
        <f>data[[#This Row],[Profit]]/data[[#This Row],[Revenue]]</f>
        <v>0.13564405932344611</v>
      </c>
    </row>
    <row r="442" spans="1:20" x14ac:dyDescent="0.3">
      <c r="A442">
        <v>10440</v>
      </c>
      <c r="B442" t="s">
        <v>340</v>
      </c>
      <c r="C442" t="s">
        <v>609</v>
      </c>
      <c r="D442" t="s">
        <v>613</v>
      </c>
      <c r="E442" t="s">
        <v>629</v>
      </c>
      <c r="F442" t="s">
        <v>1061</v>
      </c>
      <c r="G442" t="s">
        <v>1766</v>
      </c>
      <c r="H442" t="s">
        <v>1772</v>
      </c>
      <c r="I442" t="s">
        <v>1774</v>
      </c>
      <c r="J442" t="s">
        <v>1777</v>
      </c>
      <c r="K442">
        <v>14</v>
      </c>
      <c r="L442" s="2">
        <v>504</v>
      </c>
      <c r="M442">
        <v>0.15</v>
      </c>
      <c r="N442" s="2">
        <v>315.98</v>
      </c>
      <c r="O442" s="2">
        <v>5997.6</v>
      </c>
      <c r="P442" s="2">
        <v>4423.72</v>
      </c>
      <c r="Q442" s="2">
        <v>1573.88</v>
      </c>
      <c r="R442">
        <v>0</v>
      </c>
      <c r="S442" s="2" t="str">
        <f>TEXT(data[[#This Row],[Date]],"mmm yyyy")</f>
        <v>Dec 2025</v>
      </c>
      <c r="T442" s="8">
        <f>data[[#This Row],[Profit]]/data[[#This Row],[Revenue]]</f>
        <v>0.26241830065359478</v>
      </c>
    </row>
    <row r="443" spans="1:20" x14ac:dyDescent="0.3">
      <c r="A443">
        <v>10441</v>
      </c>
      <c r="B443" t="s">
        <v>213</v>
      </c>
      <c r="C443" t="s">
        <v>609</v>
      </c>
      <c r="D443" t="s">
        <v>619</v>
      </c>
      <c r="E443" t="s">
        <v>629</v>
      </c>
      <c r="F443" t="s">
        <v>1062</v>
      </c>
      <c r="G443" t="s">
        <v>1762</v>
      </c>
      <c r="H443" t="s">
        <v>1768</v>
      </c>
      <c r="I443" t="s">
        <v>1773</v>
      </c>
      <c r="J443" t="s">
        <v>1778</v>
      </c>
      <c r="K443">
        <v>10</v>
      </c>
      <c r="L443" s="2">
        <v>1180</v>
      </c>
      <c r="M443">
        <v>0.2</v>
      </c>
      <c r="N443" s="2">
        <v>651.80999999999995</v>
      </c>
      <c r="O443" s="2">
        <v>9440</v>
      </c>
      <c r="P443" s="2">
        <v>6518.1</v>
      </c>
      <c r="Q443" s="2">
        <v>2921.9</v>
      </c>
      <c r="R443">
        <v>1</v>
      </c>
      <c r="S443" s="2" t="str">
        <f>TEXT(data[[#This Row],[Date]],"mmm yyyy")</f>
        <v>Jan 2025</v>
      </c>
      <c r="T443" s="8">
        <f>data[[#This Row],[Profit]]/data[[#This Row],[Revenue]]</f>
        <v>0.30952330508474579</v>
      </c>
    </row>
    <row r="444" spans="1:20" x14ac:dyDescent="0.3">
      <c r="A444">
        <v>10442</v>
      </c>
      <c r="B444" t="s">
        <v>43</v>
      </c>
      <c r="C444" t="s">
        <v>609</v>
      </c>
      <c r="D444" t="s">
        <v>623</v>
      </c>
      <c r="E444" t="s">
        <v>627</v>
      </c>
      <c r="F444" t="s">
        <v>1063</v>
      </c>
      <c r="G444" t="s">
        <v>1760</v>
      </c>
      <c r="H444" t="s">
        <v>1770</v>
      </c>
      <c r="I444" t="s">
        <v>1775</v>
      </c>
      <c r="J444" t="s">
        <v>1777</v>
      </c>
      <c r="K444">
        <v>11</v>
      </c>
      <c r="L444" s="2">
        <v>944</v>
      </c>
      <c r="M444">
        <v>0.05</v>
      </c>
      <c r="N444" s="2">
        <v>549.51</v>
      </c>
      <c r="O444" s="2">
        <v>9864.7999999999993</v>
      </c>
      <c r="P444" s="2">
        <v>6044.61</v>
      </c>
      <c r="Q444" s="2">
        <v>3820.19</v>
      </c>
      <c r="R444">
        <v>0</v>
      </c>
      <c r="S444" s="2" t="str">
        <f>TEXT(data[[#This Row],[Date]],"mmm yyyy")</f>
        <v>Dec 2024</v>
      </c>
      <c r="T444" s="8">
        <f>data[[#This Row],[Profit]]/data[[#This Row],[Revenue]]</f>
        <v>0.38725468331846569</v>
      </c>
    </row>
    <row r="445" spans="1:20" x14ac:dyDescent="0.3">
      <c r="A445">
        <v>10443</v>
      </c>
      <c r="B445" t="s">
        <v>149</v>
      </c>
      <c r="C445" t="s">
        <v>607</v>
      </c>
      <c r="D445" t="s">
        <v>624</v>
      </c>
      <c r="E445" t="s">
        <v>627</v>
      </c>
      <c r="F445" t="s">
        <v>874</v>
      </c>
      <c r="G445" t="s">
        <v>1764</v>
      </c>
      <c r="H445" t="s">
        <v>1771</v>
      </c>
      <c r="I445" t="s">
        <v>1773</v>
      </c>
      <c r="J445" t="s">
        <v>1778</v>
      </c>
      <c r="K445">
        <v>7</v>
      </c>
      <c r="L445" s="2">
        <v>639</v>
      </c>
      <c r="M445">
        <v>0.2</v>
      </c>
      <c r="N445" s="2">
        <v>390.8</v>
      </c>
      <c r="O445" s="2">
        <v>3578.4</v>
      </c>
      <c r="P445" s="2">
        <v>2735.6</v>
      </c>
      <c r="Q445" s="2">
        <v>842.8</v>
      </c>
      <c r="R445">
        <v>1</v>
      </c>
      <c r="S445" s="2" t="str">
        <f>TEXT(data[[#This Row],[Date]],"mmm yyyy")</f>
        <v>Sep 2024</v>
      </c>
      <c r="T445" s="8">
        <f>data[[#This Row],[Profit]]/data[[#This Row],[Revenue]]</f>
        <v>0.2355242566510172</v>
      </c>
    </row>
    <row r="446" spans="1:20" x14ac:dyDescent="0.3">
      <c r="A446">
        <v>10444</v>
      </c>
      <c r="B446" t="s">
        <v>253</v>
      </c>
      <c r="C446" t="s">
        <v>609</v>
      </c>
      <c r="D446" t="s">
        <v>622</v>
      </c>
      <c r="E446" t="s">
        <v>628</v>
      </c>
      <c r="F446" t="s">
        <v>1064</v>
      </c>
      <c r="G446" t="s">
        <v>1765</v>
      </c>
      <c r="H446" t="s">
        <v>1767</v>
      </c>
      <c r="I446" t="s">
        <v>1773</v>
      </c>
      <c r="J446" t="s">
        <v>1777</v>
      </c>
      <c r="K446">
        <v>11</v>
      </c>
      <c r="L446" s="2">
        <v>136</v>
      </c>
      <c r="M446">
        <v>0.15</v>
      </c>
      <c r="N446" s="2">
        <v>90.97</v>
      </c>
      <c r="O446" s="2">
        <v>1271.5999999999999</v>
      </c>
      <c r="P446" s="2">
        <v>1000.67</v>
      </c>
      <c r="Q446" s="2">
        <v>270.93</v>
      </c>
      <c r="R446">
        <v>1</v>
      </c>
      <c r="S446" s="2" t="str">
        <f>TEXT(data[[#This Row],[Date]],"mmm yyyy")</f>
        <v>Jul 2025</v>
      </c>
      <c r="T446" s="8">
        <f>data[[#This Row],[Profit]]/data[[#This Row],[Revenue]]</f>
        <v>0.21306228373702424</v>
      </c>
    </row>
    <row r="447" spans="1:20" x14ac:dyDescent="0.3">
      <c r="A447">
        <v>10445</v>
      </c>
      <c r="B447" t="s">
        <v>232</v>
      </c>
      <c r="C447" t="s">
        <v>608</v>
      </c>
      <c r="D447" t="s">
        <v>612</v>
      </c>
      <c r="E447" t="s">
        <v>627</v>
      </c>
      <c r="F447" t="s">
        <v>1065</v>
      </c>
      <c r="G447" t="s">
        <v>1761</v>
      </c>
      <c r="H447" t="s">
        <v>1770</v>
      </c>
      <c r="I447" t="s">
        <v>1773</v>
      </c>
      <c r="J447" t="s">
        <v>1778</v>
      </c>
      <c r="K447">
        <v>5</v>
      </c>
      <c r="L447" s="2">
        <v>913</v>
      </c>
      <c r="M447">
        <v>0.2</v>
      </c>
      <c r="N447" s="2">
        <v>632.35</v>
      </c>
      <c r="O447" s="2">
        <v>3652</v>
      </c>
      <c r="P447" s="2">
        <v>3161.75</v>
      </c>
      <c r="Q447" s="2">
        <v>490.25</v>
      </c>
      <c r="R447">
        <v>0</v>
      </c>
      <c r="S447" s="2" t="str">
        <f>TEXT(data[[#This Row],[Date]],"mmm yyyy")</f>
        <v>Oct 2024</v>
      </c>
      <c r="T447" s="8">
        <f>data[[#This Row],[Profit]]/data[[#This Row],[Revenue]]</f>
        <v>0.13424151150054764</v>
      </c>
    </row>
    <row r="448" spans="1:20" x14ac:dyDescent="0.3">
      <c r="A448">
        <v>10446</v>
      </c>
      <c r="B448" t="s">
        <v>128</v>
      </c>
      <c r="C448" t="s">
        <v>606</v>
      </c>
      <c r="D448" t="s">
        <v>625</v>
      </c>
      <c r="E448" t="s">
        <v>628</v>
      </c>
      <c r="F448" t="s">
        <v>1066</v>
      </c>
      <c r="G448" t="s">
        <v>1765</v>
      </c>
      <c r="H448" t="s">
        <v>1770</v>
      </c>
      <c r="I448" t="s">
        <v>1775</v>
      </c>
      <c r="J448" t="s">
        <v>1779</v>
      </c>
      <c r="K448">
        <v>18</v>
      </c>
      <c r="L448" s="2">
        <v>605</v>
      </c>
      <c r="M448">
        <v>0.2</v>
      </c>
      <c r="N448" s="2">
        <v>421.61</v>
      </c>
      <c r="O448" s="2">
        <v>8712</v>
      </c>
      <c r="P448" s="2">
        <v>7588.98</v>
      </c>
      <c r="Q448" s="2">
        <v>1123.02</v>
      </c>
      <c r="R448">
        <v>0</v>
      </c>
      <c r="S448" s="2" t="str">
        <f>TEXT(data[[#This Row],[Date]],"mmm yyyy")</f>
        <v>Nov 2025</v>
      </c>
      <c r="T448" s="8">
        <f>data[[#This Row],[Profit]]/data[[#This Row],[Revenue]]</f>
        <v>0.12890495867768595</v>
      </c>
    </row>
    <row r="449" spans="1:20" x14ac:dyDescent="0.3">
      <c r="A449">
        <v>10447</v>
      </c>
      <c r="B449" t="s">
        <v>124</v>
      </c>
      <c r="C449" t="s">
        <v>607</v>
      </c>
      <c r="D449" t="s">
        <v>621</v>
      </c>
      <c r="E449" t="s">
        <v>626</v>
      </c>
      <c r="F449" t="s">
        <v>1067</v>
      </c>
      <c r="G449" t="s">
        <v>1760</v>
      </c>
      <c r="H449" t="s">
        <v>1768</v>
      </c>
      <c r="I449" t="s">
        <v>1773</v>
      </c>
      <c r="J449" t="s">
        <v>1777</v>
      </c>
      <c r="K449">
        <v>3</v>
      </c>
      <c r="L449" s="2">
        <v>909</v>
      </c>
      <c r="M449">
        <v>0.2</v>
      </c>
      <c r="N449" s="2">
        <v>596.46</v>
      </c>
      <c r="O449" s="2">
        <v>2181.6</v>
      </c>
      <c r="P449" s="2">
        <v>1789.38</v>
      </c>
      <c r="Q449" s="2">
        <v>392.22</v>
      </c>
      <c r="R449">
        <v>0</v>
      </c>
      <c r="S449" s="2" t="str">
        <f>TEXT(data[[#This Row],[Date]],"mmm yyyy")</f>
        <v>Sep 2024</v>
      </c>
      <c r="T449" s="8">
        <f>data[[#This Row],[Profit]]/data[[#This Row],[Revenue]]</f>
        <v>0.17978547854785482</v>
      </c>
    </row>
    <row r="450" spans="1:20" x14ac:dyDescent="0.3">
      <c r="A450">
        <v>10448</v>
      </c>
      <c r="B450" t="s">
        <v>350</v>
      </c>
      <c r="C450" t="s">
        <v>607</v>
      </c>
      <c r="D450" t="s">
        <v>624</v>
      </c>
      <c r="E450" t="s">
        <v>629</v>
      </c>
      <c r="F450" t="s">
        <v>1068</v>
      </c>
      <c r="G450" t="s">
        <v>1765</v>
      </c>
      <c r="H450" t="s">
        <v>1770</v>
      </c>
      <c r="I450" t="s">
        <v>1775</v>
      </c>
      <c r="J450" t="s">
        <v>1778</v>
      </c>
      <c r="K450">
        <v>18</v>
      </c>
      <c r="L450" s="2">
        <v>864</v>
      </c>
      <c r="M450">
        <v>0.05</v>
      </c>
      <c r="N450" s="2">
        <v>618.28</v>
      </c>
      <c r="O450" s="2">
        <v>14774.4</v>
      </c>
      <c r="P450" s="2">
        <v>11129.04</v>
      </c>
      <c r="Q450" s="2">
        <v>3645.36</v>
      </c>
      <c r="R450">
        <v>0</v>
      </c>
      <c r="S450" s="2" t="str">
        <f>TEXT(data[[#This Row],[Date]],"mmm yyyy")</f>
        <v>Nov 2024</v>
      </c>
      <c r="T450" s="8">
        <f>data[[#This Row],[Profit]]/data[[#This Row],[Revenue]]</f>
        <v>0.24673489278752439</v>
      </c>
    </row>
    <row r="451" spans="1:20" x14ac:dyDescent="0.3">
      <c r="A451">
        <v>10449</v>
      </c>
      <c r="B451" t="s">
        <v>172</v>
      </c>
      <c r="C451" t="s">
        <v>609</v>
      </c>
      <c r="D451" t="s">
        <v>622</v>
      </c>
      <c r="E451" t="s">
        <v>626</v>
      </c>
      <c r="F451" t="s">
        <v>1069</v>
      </c>
      <c r="G451" t="s">
        <v>1764</v>
      </c>
      <c r="H451" t="s">
        <v>1768</v>
      </c>
      <c r="I451" t="s">
        <v>1774</v>
      </c>
      <c r="J451" t="s">
        <v>1778</v>
      </c>
      <c r="K451">
        <v>2</v>
      </c>
      <c r="L451" s="2">
        <v>923</v>
      </c>
      <c r="M451">
        <v>0.05</v>
      </c>
      <c r="N451" s="2">
        <v>623.30999999999995</v>
      </c>
      <c r="O451" s="2">
        <v>1753.7</v>
      </c>
      <c r="P451" s="2">
        <v>1246.6199999999999</v>
      </c>
      <c r="Q451" s="2">
        <v>507.08</v>
      </c>
      <c r="R451">
        <v>0</v>
      </c>
      <c r="S451" s="2" t="str">
        <f>TEXT(data[[#This Row],[Date]],"mmm yyyy")</f>
        <v>Nov 2024</v>
      </c>
      <c r="T451" s="8">
        <f>data[[#This Row],[Profit]]/data[[#This Row],[Revenue]]</f>
        <v>0.28914865712493582</v>
      </c>
    </row>
    <row r="452" spans="1:20" x14ac:dyDescent="0.3">
      <c r="A452">
        <v>10450</v>
      </c>
      <c r="B452" t="s">
        <v>351</v>
      </c>
      <c r="C452" t="s">
        <v>609</v>
      </c>
      <c r="D452" t="s">
        <v>622</v>
      </c>
      <c r="E452" t="s">
        <v>627</v>
      </c>
      <c r="F452" t="s">
        <v>1070</v>
      </c>
      <c r="G452" t="s">
        <v>1764</v>
      </c>
      <c r="H452" t="s">
        <v>1770</v>
      </c>
      <c r="I452" t="s">
        <v>1775</v>
      </c>
      <c r="J452" t="s">
        <v>1779</v>
      </c>
      <c r="K452">
        <v>8</v>
      </c>
      <c r="L452" s="2">
        <v>693</v>
      </c>
      <c r="M452">
        <v>0.1</v>
      </c>
      <c r="N452" s="2">
        <v>362.35</v>
      </c>
      <c r="O452" s="2">
        <v>4989.6000000000004</v>
      </c>
      <c r="P452" s="2">
        <v>2898.8</v>
      </c>
      <c r="Q452" s="2">
        <v>2090.8000000000002</v>
      </c>
      <c r="R452">
        <v>1</v>
      </c>
      <c r="S452" s="2" t="str">
        <f>TEXT(data[[#This Row],[Date]],"mmm yyyy")</f>
        <v>Sep 2025</v>
      </c>
      <c r="T452" s="8">
        <f>data[[#This Row],[Profit]]/data[[#This Row],[Revenue]]</f>
        <v>0.41903158569825238</v>
      </c>
    </row>
    <row r="453" spans="1:20" x14ac:dyDescent="0.3">
      <c r="A453">
        <v>10451</v>
      </c>
      <c r="B453" t="s">
        <v>160</v>
      </c>
      <c r="C453" t="s">
        <v>608</v>
      </c>
      <c r="D453" t="s">
        <v>618</v>
      </c>
      <c r="E453" t="s">
        <v>626</v>
      </c>
      <c r="F453" t="s">
        <v>861</v>
      </c>
      <c r="G453" t="s">
        <v>1761</v>
      </c>
      <c r="H453" t="s">
        <v>1772</v>
      </c>
      <c r="I453" t="s">
        <v>1773</v>
      </c>
      <c r="J453" t="s">
        <v>1779</v>
      </c>
      <c r="K453">
        <v>17</v>
      </c>
      <c r="L453" s="2">
        <v>777</v>
      </c>
      <c r="M453">
        <v>0.05</v>
      </c>
      <c r="N453" s="2">
        <v>414.38</v>
      </c>
      <c r="O453" s="2">
        <v>12548.55</v>
      </c>
      <c r="P453" s="2">
        <v>7044.46</v>
      </c>
      <c r="Q453" s="2">
        <v>5504.09</v>
      </c>
      <c r="R453">
        <v>0</v>
      </c>
      <c r="S453" s="2" t="str">
        <f>TEXT(data[[#This Row],[Date]],"mmm yyyy")</f>
        <v>Feb 2025</v>
      </c>
      <c r="T453" s="8">
        <f>data[[#This Row],[Profit]]/data[[#This Row],[Revenue]]</f>
        <v>0.43862358599200707</v>
      </c>
    </row>
    <row r="454" spans="1:20" x14ac:dyDescent="0.3">
      <c r="A454">
        <v>10452</v>
      </c>
      <c r="B454" t="s">
        <v>352</v>
      </c>
      <c r="C454" t="s">
        <v>606</v>
      </c>
      <c r="D454" t="s">
        <v>616</v>
      </c>
      <c r="E454" t="s">
        <v>627</v>
      </c>
      <c r="F454" t="s">
        <v>1071</v>
      </c>
      <c r="G454" t="s">
        <v>1766</v>
      </c>
      <c r="H454" t="s">
        <v>1769</v>
      </c>
      <c r="I454" t="s">
        <v>1775</v>
      </c>
      <c r="J454" t="s">
        <v>1779</v>
      </c>
      <c r="K454">
        <v>17</v>
      </c>
      <c r="L454" s="2">
        <v>328</v>
      </c>
      <c r="M454">
        <v>0.15</v>
      </c>
      <c r="N454" s="2">
        <v>166.18</v>
      </c>
      <c r="O454" s="2">
        <v>4739.6000000000004</v>
      </c>
      <c r="P454" s="2">
        <v>2825.06</v>
      </c>
      <c r="Q454" s="2">
        <v>1914.54</v>
      </c>
      <c r="R454">
        <v>0</v>
      </c>
      <c r="S454" s="2" t="str">
        <f>TEXT(data[[#This Row],[Date]],"mmm yyyy")</f>
        <v>Feb 2025</v>
      </c>
      <c r="T454" s="8">
        <f>data[[#This Row],[Profit]]/data[[#This Row],[Revenue]]</f>
        <v>0.40394548063127689</v>
      </c>
    </row>
    <row r="455" spans="1:20" x14ac:dyDescent="0.3">
      <c r="A455">
        <v>10453</v>
      </c>
      <c r="B455" t="s">
        <v>353</v>
      </c>
      <c r="C455" t="s">
        <v>608</v>
      </c>
      <c r="D455" t="s">
        <v>618</v>
      </c>
      <c r="E455" t="s">
        <v>627</v>
      </c>
      <c r="F455" t="s">
        <v>1072</v>
      </c>
      <c r="G455" t="s">
        <v>1761</v>
      </c>
      <c r="H455" t="s">
        <v>1767</v>
      </c>
      <c r="I455" t="s">
        <v>1775</v>
      </c>
      <c r="J455" t="s">
        <v>1778</v>
      </c>
      <c r="K455">
        <v>16</v>
      </c>
      <c r="L455" s="2">
        <v>127</v>
      </c>
      <c r="M455">
        <v>0.2</v>
      </c>
      <c r="N455" s="2">
        <v>70.16</v>
      </c>
      <c r="O455" s="2">
        <v>1625.6</v>
      </c>
      <c r="P455" s="2">
        <v>1122.56</v>
      </c>
      <c r="Q455" s="2">
        <v>503.04</v>
      </c>
      <c r="R455">
        <v>0</v>
      </c>
      <c r="S455" s="2" t="str">
        <f>TEXT(data[[#This Row],[Date]],"mmm yyyy")</f>
        <v>Oct 2025</v>
      </c>
      <c r="T455" s="8">
        <f>data[[#This Row],[Profit]]/data[[#This Row],[Revenue]]</f>
        <v>0.30944881889763781</v>
      </c>
    </row>
    <row r="456" spans="1:20" x14ac:dyDescent="0.3">
      <c r="A456">
        <v>10454</v>
      </c>
      <c r="B456" t="s">
        <v>329</v>
      </c>
      <c r="C456" t="s">
        <v>606</v>
      </c>
      <c r="D456" t="s">
        <v>620</v>
      </c>
      <c r="E456" t="s">
        <v>628</v>
      </c>
      <c r="F456" t="s">
        <v>1073</v>
      </c>
      <c r="G456" t="s">
        <v>1762</v>
      </c>
      <c r="H456" t="s">
        <v>1767</v>
      </c>
      <c r="I456" t="s">
        <v>1775</v>
      </c>
      <c r="J456" t="s">
        <v>1777</v>
      </c>
      <c r="K456">
        <v>13</v>
      </c>
      <c r="L456" s="2">
        <v>152</v>
      </c>
      <c r="M456">
        <v>0.2</v>
      </c>
      <c r="N456" s="2">
        <v>97.99</v>
      </c>
      <c r="O456" s="2">
        <v>1580.8</v>
      </c>
      <c r="P456" s="2">
        <v>1273.8699999999999</v>
      </c>
      <c r="Q456" s="2">
        <v>306.93</v>
      </c>
      <c r="R456">
        <v>0</v>
      </c>
      <c r="S456" s="2" t="str">
        <f>TEXT(data[[#This Row],[Date]],"mmm yyyy")</f>
        <v>Nov 2024</v>
      </c>
      <c r="T456" s="8">
        <f>data[[#This Row],[Profit]]/data[[#This Row],[Revenue]]</f>
        <v>0.19416118421052633</v>
      </c>
    </row>
    <row r="457" spans="1:20" x14ac:dyDescent="0.3">
      <c r="A457">
        <v>10455</v>
      </c>
      <c r="B457" t="s">
        <v>354</v>
      </c>
      <c r="C457" t="s">
        <v>608</v>
      </c>
      <c r="D457" t="s">
        <v>618</v>
      </c>
      <c r="E457" t="s">
        <v>628</v>
      </c>
      <c r="F457" t="s">
        <v>1074</v>
      </c>
      <c r="G457" t="s">
        <v>1761</v>
      </c>
      <c r="H457" t="s">
        <v>1772</v>
      </c>
      <c r="I457" t="s">
        <v>1773</v>
      </c>
      <c r="J457" t="s">
        <v>1779</v>
      </c>
      <c r="K457">
        <v>4</v>
      </c>
      <c r="L457" s="2">
        <v>1188</v>
      </c>
      <c r="M457">
        <v>0.15</v>
      </c>
      <c r="N457" s="2">
        <v>836.11</v>
      </c>
      <c r="O457" s="2">
        <v>4039.2</v>
      </c>
      <c r="P457" s="2">
        <v>3344.44</v>
      </c>
      <c r="Q457" s="2">
        <v>694.76</v>
      </c>
      <c r="R457">
        <v>1</v>
      </c>
      <c r="S457" s="2" t="str">
        <f>TEXT(data[[#This Row],[Date]],"mmm yyyy")</f>
        <v>Nov 2025</v>
      </c>
      <c r="T457" s="8">
        <f>data[[#This Row],[Profit]]/data[[#This Row],[Revenue]]</f>
        <v>0.17200435729847496</v>
      </c>
    </row>
    <row r="458" spans="1:20" x14ac:dyDescent="0.3">
      <c r="A458">
        <v>10456</v>
      </c>
      <c r="B458" t="s">
        <v>148</v>
      </c>
      <c r="C458" t="s">
        <v>608</v>
      </c>
      <c r="D458" t="s">
        <v>618</v>
      </c>
      <c r="E458" t="s">
        <v>627</v>
      </c>
      <c r="F458" t="s">
        <v>1006</v>
      </c>
      <c r="G458" t="s">
        <v>1764</v>
      </c>
      <c r="H458" t="s">
        <v>1772</v>
      </c>
      <c r="I458" t="s">
        <v>1774</v>
      </c>
      <c r="J458" t="s">
        <v>1777</v>
      </c>
      <c r="K458">
        <v>14</v>
      </c>
      <c r="L458" s="2">
        <v>726</v>
      </c>
      <c r="M458">
        <v>0.15</v>
      </c>
      <c r="N458" s="2">
        <v>413.38</v>
      </c>
      <c r="O458" s="2">
        <v>8639.4</v>
      </c>
      <c r="P458" s="2">
        <v>5787.32</v>
      </c>
      <c r="Q458" s="2">
        <v>2852.08</v>
      </c>
      <c r="R458">
        <v>0</v>
      </c>
      <c r="S458" s="2" t="str">
        <f>TEXT(data[[#This Row],[Date]],"mmm yyyy")</f>
        <v>Jul 2024</v>
      </c>
      <c r="T458" s="8">
        <f>data[[#This Row],[Profit]]/data[[#This Row],[Revenue]]</f>
        <v>0.33012477718360073</v>
      </c>
    </row>
    <row r="459" spans="1:20" x14ac:dyDescent="0.3">
      <c r="A459">
        <v>10457</v>
      </c>
      <c r="B459" t="s">
        <v>355</v>
      </c>
      <c r="C459" t="s">
        <v>607</v>
      </c>
      <c r="D459" t="s">
        <v>611</v>
      </c>
      <c r="E459" t="s">
        <v>628</v>
      </c>
      <c r="F459" t="s">
        <v>1075</v>
      </c>
      <c r="G459" t="s">
        <v>1762</v>
      </c>
      <c r="H459" t="s">
        <v>1768</v>
      </c>
      <c r="I459" t="s">
        <v>1774</v>
      </c>
      <c r="J459" t="s">
        <v>1777</v>
      </c>
      <c r="K459">
        <v>7</v>
      </c>
      <c r="L459" s="2">
        <v>817</v>
      </c>
      <c r="M459">
        <v>0.15</v>
      </c>
      <c r="N459" s="2">
        <v>416.32</v>
      </c>
      <c r="O459" s="2">
        <v>4861.1499999999996</v>
      </c>
      <c r="P459" s="2">
        <v>2914.24</v>
      </c>
      <c r="Q459" s="2">
        <v>1946.91</v>
      </c>
      <c r="R459">
        <v>0</v>
      </c>
      <c r="S459" s="2" t="str">
        <f>TEXT(data[[#This Row],[Date]],"mmm yyyy")</f>
        <v>Jul 2025</v>
      </c>
      <c r="T459" s="8">
        <f>data[[#This Row],[Profit]]/data[[#This Row],[Revenue]]</f>
        <v>0.40050399596803232</v>
      </c>
    </row>
    <row r="460" spans="1:20" x14ac:dyDescent="0.3">
      <c r="A460">
        <v>10458</v>
      </c>
      <c r="B460" t="s">
        <v>198</v>
      </c>
      <c r="C460" t="s">
        <v>608</v>
      </c>
      <c r="D460" t="s">
        <v>612</v>
      </c>
      <c r="E460" t="s">
        <v>629</v>
      </c>
      <c r="F460" t="s">
        <v>1076</v>
      </c>
      <c r="G460" t="s">
        <v>1762</v>
      </c>
      <c r="H460" t="s">
        <v>1772</v>
      </c>
      <c r="I460" t="s">
        <v>1774</v>
      </c>
      <c r="J460" t="s">
        <v>1776</v>
      </c>
      <c r="K460">
        <v>16</v>
      </c>
      <c r="L460" s="2">
        <v>606</v>
      </c>
      <c r="M460">
        <v>0</v>
      </c>
      <c r="N460" s="2">
        <v>451.61</v>
      </c>
      <c r="O460" s="2">
        <v>9696</v>
      </c>
      <c r="P460" s="2">
        <v>7225.76</v>
      </c>
      <c r="Q460" s="2">
        <v>2470.2399999999998</v>
      </c>
      <c r="R460">
        <v>0</v>
      </c>
      <c r="S460" s="2" t="str">
        <f>TEXT(data[[#This Row],[Date]],"mmm yyyy")</f>
        <v>Dec 2025</v>
      </c>
      <c r="T460" s="8">
        <f>data[[#This Row],[Profit]]/data[[#This Row],[Revenue]]</f>
        <v>0.25476897689768974</v>
      </c>
    </row>
    <row r="461" spans="1:20" x14ac:dyDescent="0.3">
      <c r="A461">
        <v>10459</v>
      </c>
      <c r="B461" t="s">
        <v>27</v>
      </c>
      <c r="C461" t="s">
        <v>609</v>
      </c>
      <c r="D461" t="s">
        <v>622</v>
      </c>
      <c r="E461" t="s">
        <v>628</v>
      </c>
      <c r="F461" t="s">
        <v>1077</v>
      </c>
      <c r="G461" t="s">
        <v>1762</v>
      </c>
      <c r="H461" t="s">
        <v>1771</v>
      </c>
      <c r="I461" t="s">
        <v>1773</v>
      </c>
      <c r="J461" t="s">
        <v>1778</v>
      </c>
      <c r="K461">
        <v>7</v>
      </c>
      <c r="L461" s="2">
        <v>427</v>
      </c>
      <c r="M461">
        <v>0</v>
      </c>
      <c r="N461" s="2">
        <v>240.79</v>
      </c>
      <c r="O461" s="2">
        <v>2989</v>
      </c>
      <c r="P461" s="2">
        <v>1685.53</v>
      </c>
      <c r="Q461" s="2">
        <v>1303.47</v>
      </c>
      <c r="R461">
        <v>0</v>
      </c>
      <c r="S461" s="2" t="str">
        <f>TEXT(data[[#This Row],[Date]],"mmm yyyy")</f>
        <v>Sep 2024</v>
      </c>
      <c r="T461" s="8">
        <f>data[[#This Row],[Profit]]/data[[#This Row],[Revenue]]</f>
        <v>0.43608899297423886</v>
      </c>
    </row>
    <row r="462" spans="1:20" x14ac:dyDescent="0.3">
      <c r="A462">
        <v>10460</v>
      </c>
      <c r="B462" t="s">
        <v>356</v>
      </c>
      <c r="C462" t="s">
        <v>607</v>
      </c>
      <c r="D462" t="s">
        <v>621</v>
      </c>
      <c r="E462" t="s">
        <v>629</v>
      </c>
      <c r="F462" t="s">
        <v>1078</v>
      </c>
      <c r="G462" t="s">
        <v>1764</v>
      </c>
      <c r="H462" t="s">
        <v>1772</v>
      </c>
      <c r="I462" t="s">
        <v>1774</v>
      </c>
      <c r="J462" t="s">
        <v>1779</v>
      </c>
      <c r="K462">
        <v>14</v>
      </c>
      <c r="L462" s="2">
        <v>748</v>
      </c>
      <c r="M462">
        <v>0</v>
      </c>
      <c r="N462" s="2">
        <v>515.05999999999995</v>
      </c>
      <c r="O462" s="2">
        <v>10472</v>
      </c>
      <c r="P462" s="2">
        <v>7210.84</v>
      </c>
      <c r="Q462" s="2">
        <v>3261.16</v>
      </c>
      <c r="R462">
        <v>0</v>
      </c>
      <c r="S462" s="2" t="str">
        <f>TEXT(data[[#This Row],[Date]],"mmm yyyy")</f>
        <v>Apr 2024</v>
      </c>
      <c r="T462" s="8">
        <f>data[[#This Row],[Profit]]/data[[#This Row],[Revenue]]</f>
        <v>0.31141711229946523</v>
      </c>
    </row>
    <row r="463" spans="1:20" x14ac:dyDescent="0.3">
      <c r="A463">
        <v>10461</v>
      </c>
      <c r="B463" t="s">
        <v>214</v>
      </c>
      <c r="C463" t="s">
        <v>609</v>
      </c>
      <c r="D463" t="s">
        <v>613</v>
      </c>
      <c r="E463" t="s">
        <v>628</v>
      </c>
      <c r="F463" t="s">
        <v>1079</v>
      </c>
      <c r="G463" t="s">
        <v>1762</v>
      </c>
      <c r="H463" t="s">
        <v>1771</v>
      </c>
      <c r="I463" t="s">
        <v>1775</v>
      </c>
      <c r="J463" t="s">
        <v>1776</v>
      </c>
      <c r="K463">
        <v>2</v>
      </c>
      <c r="L463" s="2">
        <v>479</v>
      </c>
      <c r="M463">
        <v>0.1</v>
      </c>
      <c r="N463" s="2">
        <v>330.14</v>
      </c>
      <c r="O463" s="2">
        <v>862.2</v>
      </c>
      <c r="P463" s="2">
        <v>660.28</v>
      </c>
      <c r="Q463" s="2">
        <v>201.92</v>
      </c>
      <c r="R463">
        <v>1</v>
      </c>
      <c r="S463" s="2" t="str">
        <f>TEXT(data[[#This Row],[Date]],"mmm yyyy")</f>
        <v>Oct 2025</v>
      </c>
      <c r="T463" s="8">
        <f>data[[#This Row],[Profit]]/data[[#This Row],[Revenue]]</f>
        <v>0.23419160287636276</v>
      </c>
    </row>
    <row r="464" spans="1:20" x14ac:dyDescent="0.3">
      <c r="A464">
        <v>10462</v>
      </c>
      <c r="B464" t="s">
        <v>254</v>
      </c>
      <c r="C464" t="s">
        <v>607</v>
      </c>
      <c r="D464" t="s">
        <v>611</v>
      </c>
      <c r="E464" t="s">
        <v>627</v>
      </c>
      <c r="F464" t="s">
        <v>984</v>
      </c>
      <c r="G464" t="s">
        <v>1759</v>
      </c>
      <c r="H464" t="s">
        <v>1769</v>
      </c>
      <c r="I464" t="s">
        <v>1775</v>
      </c>
      <c r="J464" t="s">
        <v>1777</v>
      </c>
      <c r="K464">
        <v>16</v>
      </c>
      <c r="L464" s="2">
        <v>421</v>
      </c>
      <c r="M464">
        <v>0.1</v>
      </c>
      <c r="N464" s="2">
        <v>229.25</v>
      </c>
      <c r="O464" s="2">
        <v>6062.4</v>
      </c>
      <c r="P464" s="2">
        <v>3668</v>
      </c>
      <c r="Q464" s="2">
        <v>2394.4</v>
      </c>
      <c r="R464">
        <v>1</v>
      </c>
      <c r="S464" s="2" t="str">
        <f>TEXT(data[[#This Row],[Date]],"mmm yyyy")</f>
        <v>Feb 2025</v>
      </c>
      <c r="T464" s="8">
        <f>data[[#This Row],[Profit]]/data[[#This Row],[Revenue]]</f>
        <v>0.39495909210873587</v>
      </c>
    </row>
    <row r="465" spans="1:20" x14ac:dyDescent="0.3">
      <c r="A465">
        <v>10463</v>
      </c>
      <c r="B465" t="s">
        <v>357</v>
      </c>
      <c r="C465" t="s">
        <v>609</v>
      </c>
      <c r="D465" t="s">
        <v>622</v>
      </c>
      <c r="E465" t="s">
        <v>627</v>
      </c>
      <c r="F465" t="s">
        <v>1080</v>
      </c>
      <c r="G465" t="s">
        <v>1764</v>
      </c>
      <c r="H465" t="s">
        <v>1770</v>
      </c>
      <c r="I465" t="s">
        <v>1773</v>
      </c>
      <c r="J465" t="s">
        <v>1778</v>
      </c>
      <c r="K465">
        <v>14</v>
      </c>
      <c r="L465" s="2">
        <v>777</v>
      </c>
      <c r="M465">
        <v>0</v>
      </c>
      <c r="N465" s="2">
        <v>391.08</v>
      </c>
      <c r="O465" s="2">
        <v>10878</v>
      </c>
      <c r="P465" s="2">
        <v>5475.12</v>
      </c>
      <c r="Q465" s="2">
        <v>5402.88</v>
      </c>
      <c r="R465">
        <v>1</v>
      </c>
      <c r="S465" s="2" t="str">
        <f>TEXT(data[[#This Row],[Date]],"mmm yyyy")</f>
        <v>Oct 2025</v>
      </c>
      <c r="T465" s="8">
        <f>data[[#This Row],[Profit]]/data[[#This Row],[Revenue]]</f>
        <v>0.49667953667953668</v>
      </c>
    </row>
    <row r="466" spans="1:20" x14ac:dyDescent="0.3">
      <c r="A466">
        <v>10464</v>
      </c>
      <c r="B466" t="s">
        <v>358</v>
      </c>
      <c r="C466" t="s">
        <v>607</v>
      </c>
      <c r="D466" t="s">
        <v>621</v>
      </c>
      <c r="E466" t="s">
        <v>628</v>
      </c>
      <c r="F466" t="s">
        <v>1081</v>
      </c>
      <c r="G466" t="s">
        <v>1759</v>
      </c>
      <c r="H466" t="s">
        <v>1771</v>
      </c>
      <c r="I466" t="s">
        <v>1775</v>
      </c>
      <c r="J466" t="s">
        <v>1776</v>
      </c>
      <c r="K466">
        <v>13</v>
      </c>
      <c r="L466" s="2">
        <v>629</v>
      </c>
      <c r="M466">
        <v>0</v>
      </c>
      <c r="N466" s="2">
        <v>417.94</v>
      </c>
      <c r="O466" s="2">
        <v>8177</v>
      </c>
      <c r="P466" s="2">
        <v>5433.22</v>
      </c>
      <c r="Q466" s="2">
        <v>2743.78</v>
      </c>
      <c r="R466">
        <v>0</v>
      </c>
      <c r="S466" s="2" t="str">
        <f>TEXT(data[[#This Row],[Date]],"mmm yyyy")</f>
        <v>Jan 2025</v>
      </c>
      <c r="T466" s="8">
        <f>data[[#This Row],[Profit]]/data[[#This Row],[Revenue]]</f>
        <v>0.33554848966613676</v>
      </c>
    </row>
    <row r="467" spans="1:20" x14ac:dyDescent="0.3">
      <c r="A467">
        <v>10465</v>
      </c>
      <c r="B467" t="s">
        <v>253</v>
      </c>
      <c r="C467" t="s">
        <v>608</v>
      </c>
      <c r="D467" t="s">
        <v>614</v>
      </c>
      <c r="E467" t="s">
        <v>627</v>
      </c>
      <c r="F467" t="s">
        <v>1082</v>
      </c>
      <c r="G467" t="s">
        <v>1761</v>
      </c>
      <c r="H467" t="s">
        <v>1770</v>
      </c>
      <c r="I467" t="s">
        <v>1774</v>
      </c>
      <c r="J467" t="s">
        <v>1776</v>
      </c>
      <c r="K467">
        <v>10</v>
      </c>
      <c r="L467" s="2">
        <v>480</v>
      </c>
      <c r="M467">
        <v>0</v>
      </c>
      <c r="N467" s="2">
        <v>334.88</v>
      </c>
      <c r="O467" s="2">
        <v>4800</v>
      </c>
      <c r="P467" s="2">
        <v>3348.8</v>
      </c>
      <c r="Q467" s="2">
        <v>1451.2</v>
      </c>
      <c r="R467">
        <v>0</v>
      </c>
      <c r="S467" s="2" t="str">
        <f>TEXT(data[[#This Row],[Date]],"mmm yyyy")</f>
        <v>Jul 2025</v>
      </c>
      <c r="T467" s="8">
        <f>data[[#This Row],[Profit]]/data[[#This Row],[Revenue]]</f>
        <v>0.30233333333333334</v>
      </c>
    </row>
    <row r="468" spans="1:20" x14ac:dyDescent="0.3">
      <c r="A468">
        <v>10466</v>
      </c>
      <c r="B468" t="s">
        <v>347</v>
      </c>
      <c r="C468" t="s">
        <v>606</v>
      </c>
      <c r="D468" t="s">
        <v>620</v>
      </c>
      <c r="E468" t="s">
        <v>626</v>
      </c>
      <c r="F468" t="s">
        <v>1083</v>
      </c>
      <c r="G468" t="s">
        <v>1764</v>
      </c>
      <c r="H468" t="s">
        <v>1770</v>
      </c>
      <c r="I468" t="s">
        <v>1775</v>
      </c>
      <c r="J468" t="s">
        <v>1779</v>
      </c>
      <c r="K468">
        <v>6</v>
      </c>
      <c r="L468" s="2">
        <v>777</v>
      </c>
      <c r="M468">
        <v>0.2</v>
      </c>
      <c r="N468" s="2">
        <v>465.22</v>
      </c>
      <c r="O468" s="2">
        <v>3729.6</v>
      </c>
      <c r="P468" s="2">
        <v>2791.32</v>
      </c>
      <c r="Q468" s="2">
        <v>938.28</v>
      </c>
      <c r="R468">
        <v>1</v>
      </c>
      <c r="S468" s="2" t="str">
        <f>TEXT(data[[#This Row],[Date]],"mmm yyyy")</f>
        <v>May 2024</v>
      </c>
      <c r="T468" s="8">
        <f>data[[#This Row],[Profit]]/data[[#This Row],[Revenue]]</f>
        <v>0.25157657657657656</v>
      </c>
    </row>
    <row r="469" spans="1:20" x14ac:dyDescent="0.3">
      <c r="A469">
        <v>10467</v>
      </c>
      <c r="B469" t="s">
        <v>125</v>
      </c>
      <c r="C469" t="s">
        <v>607</v>
      </c>
      <c r="D469" t="s">
        <v>611</v>
      </c>
      <c r="E469" t="s">
        <v>628</v>
      </c>
      <c r="F469" t="s">
        <v>1084</v>
      </c>
      <c r="G469" t="s">
        <v>1762</v>
      </c>
      <c r="H469" t="s">
        <v>1768</v>
      </c>
      <c r="I469" t="s">
        <v>1773</v>
      </c>
      <c r="J469" t="s">
        <v>1776</v>
      </c>
      <c r="K469">
        <v>8</v>
      </c>
      <c r="L469" s="2">
        <v>1245</v>
      </c>
      <c r="M469">
        <v>0.15</v>
      </c>
      <c r="N469" s="2">
        <v>924.04</v>
      </c>
      <c r="O469" s="2">
        <v>8466</v>
      </c>
      <c r="P469" s="2">
        <v>7392.32</v>
      </c>
      <c r="Q469" s="2">
        <v>1073.68</v>
      </c>
      <c r="R469">
        <v>0</v>
      </c>
      <c r="S469" s="2" t="str">
        <f>TEXT(data[[#This Row],[Date]],"mmm yyyy")</f>
        <v>May 2025</v>
      </c>
      <c r="T469" s="8">
        <f>data[[#This Row],[Profit]]/data[[#This Row],[Revenue]]</f>
        <v>0.12682258445546893</v>
      </c>
    </row>
    <row r="470" spans="1:20" x14ac:dyDescent="0.3">
      <c r="A470">
        <v>10468</v>
      </c>
      <c r="B470" t="s">
        <v>279</v>
      </c>
      <c r="C470" t="s">
        <v>607</v>
      </c>
      <c r="D470" t="s">
        <v>617</v>
      </c>
      <c r="E470" t="s">
        <v>627</v>
      </c>
      <c r="F470" t="s">
        <v>1085</v>
      </c>
      <c r="G470" t="s">
        <v>1765</v>
      </c>
      <c r="H470" t="s">
        <v>1771</v>
      </c>
      <c r="I470" t="s">
        <v>1775</v>
      </c>
      <c r="J470" t="s">
        <v>1777</v>
      </c>
      <c r="K470">
        <v>15</v>
      </c>
      <c r="L470" s="2">
        <v>378</v>
      </c>
      <c r="M470">
        <v>0.15</v>
      </c>
      <c r="N470" s="2">
        <v>261.08999999999997</v>
      </c>
      <c r="O470" s="2">
        <v>4819.5</v>
      </c>
      <c r="P470" s="2">
        <v>3916.35</v>
      </c>
      <c r="Q470" s="2">
        <v>903.15</v>
      </c>
      <c r="R470">
        <v>0</v>
      </c>
      <c r="S470" s="2" t="str">
        <f>TEXT(data[[#This Row],[Date]],"mmm yyyy")</f>
        <v>Jan 2025</v>
      </c>
      <c r="T470" s="8">
        <f>data[[#This Row],[Profit]]/data[[#This Row],[Revenue]]</f>
        <v>0.18739495798319328</v>
      </c>
    </row>
    <row r="471" spans="1:20" x14ac:dyDescent="0.3">
      <c r="A471">
        <v>10469</v>
      </c>
      <c r="B471" t="s">
        <v>349</v>
      </c>
      <c r="C471" t="s">
        <v>606</v>
      </c>
      <c r="D471" t="s">
        <v>610</v>
      </c>
      <c r="E471" t="s">
        <v>629</v>
      </c>
      <c r="F471" t="s">
        <v>1086</v>
      </c>
      <c r="G471" t="s">
        <v>1761</v>
      </c>
      <c r="H471" t="s">
        <v>1768</v>
      </c>
      <c r="I471" t="s">
        <v>1773</v>
      </c>
      <c r="J471" t="s">
        <v>1776</v>
      </c>
      <c r="K471">
        <v>1</v>
      </c>
      <c r="L471" s="2">
        <v>1374</v>
      </c>
      <c r="M471">
        <v>0.15</v>
      </c>
      <c r="N471" s="2">
        <v>715.08</v>
      </c>
      <c r="O471" s="2">
        <v>1167.9000000000001</v>
      </c>
      <c r="P471" s="2">
        <v>715.08</v>
      </c>
      <c r="Q471" s="2">
        <v>452.82</v>
      </c>
      <c r="R471">
        <v>1</v>
      </c>
      <c r="S471" s="2" t="str">
        <f>TEXT(data[[#This Row],[Date]],"mmm yyyy")</f>
        <v>Nov 2025</v>
      </c>
      <c r="T471" s="8">
        <f>data[[#This Row],[Profit]]/data[[#This Row],[Revenue]]</f>
        <v>0.3877215515026971</v>
      </c>
    </row>
    <row r="472" spans="1:20" x14ac:dyDescent="0.3">
      <c r="A472">
        <v>10470</v>
      </c>
      <c r="B472" t="s">
        <v>139</v>
      </c>
      <c r="C472" t="s">
        <v>607</v>
      </c>
      <c r="D472" t="s">
        <v>617</v>
      </c>
      <c r="E472" t="s">
        <v>626</v>
      </c>
      <c r="F472" t="s">
        <v>1087</v>
      </c>
      <c r="G472" t="s">
        <v>1765</v>
      </c>
      <c r="H472" t="s">
        <v>1769</v>
      </c>
      <c r="I472" t="s">
        <v>1774</v>
      </c>
      <c r="J472" t="s">
        <v>1777</v>
      </c>
      <c r="K472">
        <v>13</v>
      </c>
      <c r="L472" s="2">
        <v>159</v>
      </c>
      <c r="M472">
        <v>0.1</v>
      </c>
      <c r="N472" s="2">
        <v>84.53</v>
      </c>
      <c r="O472" s="2">
        <v>1860.3</v>
      </c>
      <c r="P472" s="2">
        <v>1098.8900000000001</v>
      </c>
      <c r="Q472" s="2">
        <v>761.41</v>
      </c>
      <c r="R472">
        <v>1</v>
      </c>
      <c r="S472" s="2" t="str">
        <f>TEXT(data[[#This Row],[Date]],"mmm yyyy")</f>
        <v>Mar 2024</v>
      </c>
      <c r="T472" s="8">
        <f>data[[#This Row],[Profit]]/data[[#This Row],[Revenue]]</f>
        <v>0.40929419986023757</v>
      </c>
    </row>
    <row r="473" spans="1:20" x14ac:dyDescent="0.3">
      <c r="A473">
        <v>10471</v>
      </c>
      <c r="B473" t="s">
        <v>359</v>
      </c>
      <c r="C473" t="s">
        <v>609</v>
      </c>
      <c r="D473" t="s">
        <v>622</v>
      </c>
      <c r="E473" t="s">
        <v>628</v>
      </c>
      <c r="F473" t="s">
        <v>1088</v>
      </c>
      <c r="G473" t="s">
        <v>1759</v>
      </c>
      <c r="H473" t="s">
        <v>1769</v>
      </c>
      <c r="I473" t="s">
        <v>1775</v>
      </c>
      <c r="J473" t="s">
        <v>1776</v>
      </c>
      <c r="K473">
        <v>20</v>
      </c>
      <c r="L473" s="2">
        <v>249</v>
      </c>
      <c r="M473">
        <v>0.2</v>
      </c>
      <c r="N473" s="2">
        <v>128.88999999999999</v>
      </c>
      <c r="O473" s="2">
        <v>3984</v>
      </c>
      <c r="P473" s="2">
        <v>2577.8000000000002</v>
      </c>
      <c r="Q473" s="2">
        <v>1406.2</v>
      </c>
      <c r="R473">
        <v>0</v>
      </c>
      <c r="S473" s="2" t="str">
        <f>TEXT(data[[#This Row],[Date]],"mmm yyyy")</f>
        <v>Mar 2025</v>
      </c>
      <c r="T473" s="8">
        <f>data[[#This Row],[Profit]]/data[[#This Row],[Revenue]]</f>
        <v>0.35296184738955827</v>
      </c>
    </row>
    <row r="474" spans="1:20" x14ac:dyDescent="0.3">
      <c r="A474">
        <v>10472</v>
      </c>
      <c r="B474" t="s">
        <v>360</v>
      </c>
      <c r="C474" t="s">
        <v>609</v>
      </c>
      <c r="D474" t="s">
        <v>619</v>
      </c>
      <c r="E474" t="s">
        <v>627</v>
      </c>
      <c r="F474" t="s">
        <v>1089</v>
      </c>
      <c r="G474" t="s">
        <v>1764</v>
      </c>
      <c r="H474" t="s">
        <v>1772</v>
      </c>
      <c r="I474" t="s">
        <v>1775</v>
      </c>
      <c r="J474" t="s">
        <v>1777</v>
      </c>
      <c r="K474">
        <v>2</v>
      </c>
      <c r="L474" s="2">
        <v>1111</v>
      </c>
      <c r="M474">
        <v>0</v>
      </c>
      <c r="N474" s="2">
        <v>583.4</v>
      </c>
      <c r="O474" s="2">
        <v>2222</v>
      </c>
      <c r="P474" s="2">
        <v>1166.8</v>
      </c>
      <c r="Q474" s="2">
        <v>1055.2</v>
      </c>
      <c r="R474">
        <v>0</v>
      </c>
      <c r="S474" s="2" t="str">
        <f>TEXT(data[[#This Row],[Date]],"mmm yyyy")</f>
        <v>Aug 2025</v>
      </c>
      <c r="T474" s="8">
        <f>data[[#This Row],[Profit]]/data[[#This Row],[Revenue]]</f>
        <v>0.47488748874887493</v>
      </c>
    </row>
    <row r="475" spans="1:20" x14ac:dyDescent="0.3">
      <c r="A475">
        <v>10473</v>
      </c>
      <c r="B475" t="s">
        <v>361</v>
      </c>
      <c r="C475" t="s">
        <v>607</v>
      </c>
      <c r="D475" t="s">
        <v>624</v>
      </c>
      <c r="E475" t="s">
        <v>626</v>
      </c>
      <c r="F475" t="s">
        <v>1090</v>
      </c>
      <c r="G475" t="s">
        <v>1764</v>
      </c>
      <c r="H475" t="s">
        <v>1772</v>
      </c>
      <c r="I475" t="s">
        <v>1775</v>
      </c>
      <c r="J475" t="s">
        <v>1777</v>
      </c>
      <c r="K475">
        <v>19</v>
      </c>
      <c r="L475" s="2">
        <v>967</v>
      </c>
      <c r="M475">
        <v>0.1</v>
      </c>
      <c r="N475" s="2">
        <v>555.79999999999995</v>
      </c>
      <c r="O475" s="2">
        <v>16535.7</v>
      </c>
      <c r="P475" s="2">
        <v>10560.2</v>
      </c>
      <c r="Q475" s="2">
        <v>5975.5</v>
      </c>
      <c r="R475">
        <v>0</v>
      </c>
      <c r="S475" s="2" t="str">
        <f>TEXT(data[[#This Row],[Date]],"mmm yyyy")</f>
        <v>Oct 2025</v>
      </c>
      <c r="T475" s="8">
        <f>data[[#This Row],[Profit]]/data[[#This Row],[Revenue]]</f>
        <v>0.36136964265195909</v>
      </c>
    </row>
    <row r="476" spans="1:20" x14ac:dyDescent="0.3">
      <c r="A476">
        <v>10474</v>
      </c>
      <c r="B476" t="s">
        <v>80</v>
      </c>
      <c r="C476" t="s">
        <v>606</v>
      </c>
      <c r="D476" t="s">
        <v>620</v>
      </c>
      <c r="E476" t="s">
        <v>628</v>
      </c>
      <c r="F476" t="s">
        <v>1091</v>
      </c>
      <c r="G476" t="s">
        <v>1762</v>
      </c>
      <c r="H476" t="s">
        <v>1772</v>
      </c>
      <c r="I476" t="s">
        <v>1774</v>
      </c>
      <c r="J476" t="s">
        <v>1777</v>
      </c>
      <c r="K476">
        <v>17</v>
      </c>
      <c r="L476" s="2">
        <v>1020</v>
      </c>
      <c r="M476">
        <v>0.1</v>
      </c>
      <c r="N476" s="2">
        <v>693.47</v>
      </c>
      <c r="O476" s="2">
        <v>15606</v>
      </c>
      <c r="P476" s="2">
        <v>11788.99</v>
      </c>
      <c r="Q476" s="2">
        <v>3817.01</v>
      </c>
      <c r="R476">
        <v>0</v>
      </c>
      <c r="S476" s="2" t="str">
        <f>TEXT(data[[#This Row],[Date]],"mmm yyyy")</f>
        <v>Sep 2024</v>
      </c>
      <c r="T476" s="8">
        <f>data[[#This Row],[Profit]]/data[[#This Row],[Revenue]]</f>
        <v>0.2445860566448802</v>
      </c>
    </row>
    <row r="477" spans="1:20" x14ac:dyDescent="0.3">
      <c r="A477">
        <v>10475</v>
      </c>
      <c r="B477" t="s">
        <v>362</v>
      </c>
      <c r="C477" t="s">
        <v>607</v>
      </c>
      <c r="D477" t="s">
        <v>611</v>
      </c>
      <c r="E477" t="s">
        <v>626</v>
      </c>
      <c r="F477" t="s">
        <v>1092</v>
      </c>
      <c r="G477" t="s">
        <v>1762</v>
      </c>
      <c r="H477" t="s">
        <v>1772</v>
      </c>
      <c r="I477" t="s">
        <v>1774</v>
      </c>
      <c r="J477" t="s">
        <v>1777</v>
      </c>
      <c r="K477">
        <v>7</v>
      </c>
      <c r="L477" s="2">
        <v>1126</v>
      </c>
      <c r="M477">
        <v>0.05</v>
      </c>
      <c r="N477" s="2">
        <v>843.8</v>
      </c>
      <c r="O477" s="2">
        <v>7487.9</v>
      </c>
      <c r="P477" s="2">
        <v>5906.6</v>
      </c>
      <c r="Q477" s="2">
        <v>1581.3</v>
      </c>
      <c r="R477">
        <v>0</v>
      </c>
      <c r="S477" s="2" t="str">
        <f>TEXT(data[[#This Row],[Date]],"mmm yyyy")</f>
        <v>Jul 2025</v>
      </c>
      <c r="T477" s="8">
        <f>data[[#This Row],[Profit]]/data[[#This Row],[Revenue]]</f>
        <v>0.21118070487052445</v>
      </c>
    </row>
    <row r="478" spans="1:20" x14ac:dyDescent="0.3">
      <c r="A478">
        <v>10476</v>
      </c>
      <c r="B478" t="s">
        <v>172</v>
      </c>
      <c r="C478" t="s">
        <v>606</v>
      </c>
      <c r="D478" t="s">
        <v>625</v>
      </c>
      <c r="E478" t="s">
        <v>626</v>
      </c>
      <c r="F478" t="s">
        <v>1093</v>
      </c>
      <c r="G478" t="s">
        <v>1764</v>
      </c>
      <c r="H478" t="s">
        <v>1770</v>
      </c>
      <c r="I478" t="s">
        <v>1774</v>
      </c>
      <c r="J478" t="s">
        <v>1779</v>
      </c>
      <c r="K478">
        <v>13</v>
      </c>
      <c r="L478" s="2">
        <v>598</v>
      </c>
      <c r="M478">
        <v>0.15</v>
      </c>
      <c r="N478" s="2">
        <v>325.01</v>
      </c>
      <c r="O478" s="2">
        <v>6607.9</v>
      </c>
      <c r="P478" s="2">
        <v>4225.13</v>
      </c>
      <c r="Q478" s="2">
        <v>2382.77</v>
      </c>
      <c r="R478">
        <v>0</v>
      </c>
      <c r="S478" s="2" t="str">
        <f>TEXT(data[[#This Row],[Date]],"mmm yyyy")</f>
        <v>Nov 2024</v>
      </c>
      <c r="T478" s="8">
        <f>data[[#This Row],[Profit]]/data[[#This Row],[Revenue]]</f>
        <v>0.36059413732048007</v>
      </c>
    </row>
    <row r="479" spans="1:20" x14ac:dyDescent="0.3">
      <c r="A479">
        <v>10477</v>
      </c>
      <c r="B479" t="s">
        <v>363</v>
      </c>
      <c r="C479" t="s">
        <v>609</v>
      </c>
      <c r="D479" t="s">
        <v>613</v>
      </c>
      <c r="E479" t="s">
        <v>628</v>
      </c>
      <c r="F479" t="s">
        <v>1094</v>
      </c>
      <c r="G479" t="s">
        <v>1763</v>
      </c>
      <c r="H479" t="s">
        <v>1767</v>
      </c>
      <c r="I479" t="s">
        <v>1773</v>
      </c>
      <c r="J479" t="s">
        <v>1779</v>
      </c>
      <c r="K479">
        <v>14</v>
      </c>
      <c r="L479" s="2">
        <v>180</v>
      </c>
      <c r="M479">
        <v>0.05</v>
      </c>
      <c r="N479" s="2">
        <v>106.86</v>
      </c>
      <c r="O479" s="2">
        <v>2394</v>
      </c>
      <c r="P479" s="2">
        <v>1496.04</v>
      </c>
      <c r="Q479" s="2">
        <v>897.96</v>
      </c>
      <c r="R479">
        <v>0</v>
      </c>
      <c r="S479" s="2" t="str">
        <f>TEXT(data[[#This Row],[Date]],"mmm yyyy")</f>
        <v>Feb 2025</v>
      </c>
      <c r="T479" s="8">
        <f>data[[#This Row],[Profit]]/data[[#This Row],[Revenue]]</f>
        <v>0.37508771929824564</v>
      </c>
    </row>
    <row r="480" spans="1:20" x14ac:dyDescent="0.3">
      <c r="A480">
        <v>10478</v>
      </c>
      <c r="B480" t="s">
        <v>362</v>
      </c>
      <c r="C480" t="s">
        <v>608</v>
      </c>
      <c r="D480" t="s">
        <v>612</v>
      </c>
      <c r="E480" t="s">
        <v>627</v>
      </c>
      <c r="F480" t="s">
        <v>1095</v>
      </c>
      <c r="G480" t="s">
        <v>1762</v>
      </c>
      <c r="H480" t="s">
        <v>1769</v>
      </c>
      <c r="I480" t="s">
        <v>1775</v>
      </c>
      <c r="J480" t="s">
        <v>1779</v>
      </c>
      <c r="K480">
        <v>2</v>
      </c>
      <c r="L480" s="2">
        <v>388</v>
      </c>
      <c r="M480">
        <v>0</v>
      </c>
      <c r="N480" s="2">
        <v>217.34</v>
      </c>
      <c r="O480" s="2">
        <v>776</v>
      </c>
      <c r="P480" s="2">
        <v>434.68</v>
      </c>
      <c r="Q480" s="2">
        <v>341.32</v>
      </c>
      <c r="R480">
        <v>0</v>
      </c>
      <c r="S480" s="2" t="str">
        <f>TEXT(data[[#This Row],[Date]],"mmm yyyy")</f>
        <v>Jul 2025</v>
      </c>
      <c r="T480" s="8">
        <f>data[[#This Row],[Profit]]/data[[#This Row],[Revenue]]</f>
        <v>0.43984536082474224</v>
      </c>
    </row>
    <row r="481" spans="1:20" x14ac:dyDescent="0.3">
      <c r="A481">
        <v>10479</v>
      </c>
      <c r="B481" t="s">
        <v>139</v>
      </c>
      <c r="C481" t="s">
        <v>606</v>
      </c>
      <c r="D481" t="s">
        <v>625</v>
      </c>
      <c r="E481" t="s">
        <v>627</v>
      </c>
      <c r="F481" t="s">
        <v>1096</v>
      </c>
      <c r="G481" t="s">
        <v>1759</v>
      </c>
      <c r="H481" t="s">
        <v>1769</v>
      </c>
      <c r="I481" t="s">
        <v>1775</v>
      </c>
      <c r="J481" t="s">
        <v>1778</v>
      </c>
      <c r="K481">
        <v>6</v>
      </c>
      <c r="L481" s="2">
        <v>338</v>
      </c>
      <c r="M481">
        <v>0.2</v>
      </c>
      <c r="N481" s="2">
        <v>225.57</v>
      </c>
      <c r="O481" s="2">
        <v>1622.4</v>
      </c>
      <c r="P481" s="2">
        <v>1353.42</v>
      </c>
      <c r="Q481" s="2">
        <v>268.98</v>
      </c>
      <c r="R481">
        <v>0</v>
      </c>
      <c r="S481" s="2" t="str">
        <f>TEXT(data[[#This Row],[Date]],"mmm yyyy")</f>
        <v>Mar 2024</v>
      </c>
      <c r="T481" s="8">
        <f>data[[#This Row],[Profit]]/data[[#This Row],[Revenue]]</f>
        <v>0.16579142011834319</v>
      </c>
    </row>
    <row r="482" spans="1:20" x14ac:dyDescent="0.3">
      <c r="A482">
        <v>10480</v>
      </c>
      <c r="B482" t="s">
        <v>293</v>
      </c>
      <c r="C482" t="s">
        <v>609</v>
      </c>
      <c r="D482" t="s">
        <v>613</v>
      </c>
      <c r="E482" t="s">
        <v>629</v>
      </c>
      <c r="F482" t="s">
        <v>1097</v>
      </c>
      <c r="G482" t="s">
        <v>1762</v>
      </c>
      <c r="H482" t="s">
        <v>1771</v>
      </c>
      <c r="I482" t="s">
        <v>1773</v>
      </c>
      <c r="J482" t="s">
        <v>1779</v>
      </c>
      <c r="K482">
        <v>18</v>
      </c>
      <c r="L482" s="2">
        <v>667</v>
      </c>
      <c r="M482">
        <v>0.05</v>
      </c>
      <c r="N482" s="2">
        <v>496.79</v>
      </c>
      <c r="O482" s="2">
        <v>11405.7</v>
      </c>
      <c r="P482" s="2">
        <v>8942.2199999999993</v>
      </c>
      <c r="Q482" s="2">
        <v>2463.48</v>
      </c>
      <c r="R482">
        <v>0</v>
      </c>
      <c r="S482" s="2" t="str">
        <f>TEXT(data[[#This Row],[Date]],"mmm yyyy")</f>
        <v>Oct 2024</v>
      </c>
      <c r="T482" s="8">
        <f>data[[#This Row],[Profit]]/data[[#This Row],[Revenue]]</f>
        <v>0.21598674347037006</v>
      </c>
    </row>
    <row r="483" spans="1:20" x14ac:dyDescent="0.3">
      <c r="A483">
        <v>10481</v>
      </c>
      <c r="B483" t="s">
        <v>307</v>
      </c>
      <c r="C483" t="s">
        <v>609</v>
      </c>
      <c r="D483" t="s">
        <v>619</v>
      </c>
      <c r="E483" t="s">
        <v>626</v>
      </c>
      <c r="F483" t="s">
        <v>1098</v>
      </c>
      <c r="G483" t="s">
        <v>1763</v>
      </c>
      <c r="H483" t="s">
        <v>1771</v>
      </c>
      <c r="I483" t="s">
        <v>1775</v>
      </c>
      <c r="J483" t="s">
        <v>1777</v>
      </c>
      <c r="K483">
        <v>15</v>
      </c>
      <c r="L483" s="2">
        <v>494</v>
      </c>
      <c r="M483">
        <v>0</v>
      </c>
      <c r="N483" s="2">
        <v>301.41000000000003</v>
      </c>
      <c r="O483" s="2">
        <v>7410</v>
      </c>
      <c r="P483" s="2">
        <v>4521.1499999999996</v>
      </c>
      <c r="Q483" s="2">
        <v>2888.85</v>
      </c>
      <c r="R483">
        <v>1</v>
      </c>
      <c r="S483" s="2" t="str">
        <f>TEXT(data[[#This Row],[Date]],"mmm yyyy")</f>
        <v>Jan 2024</v>
      </c>
      <c r="T483" s="8">
        <f>data[[#This Row],[Profit]]/data[[#This Row],[Revenue]]</f>
        <v>0.38985829959514168</v>
      </c>
    </row>
    <row r="484" spans="1:20" x14ac:dyDescent="0.3">
      <c r="A484">
        <v>10482</v>
      </c>
      <c r="B484" t="s">
        <v>93</v>
      </c>
      <c r="C484" t="s">
        <v>609</v>
      </c>
      <c r="D484" t="s">
        <v>622</v>
      </c>
      <c r="E484" t="s">
        <v>628</v>
      </c>
      <c r="F484" t="s">
        <v>1032</v>
      </c>
      <c r="G484" t="s">
        <v>1759</v>
      </c>
      <c r="H484" t="s">
        <v>1767</v>
      </c>
      <c r="I484" t="s">
        <v>1773</v>
      </c>
      <c r="J484" t="s">
        <v>1778</v>
      </c>
      <c r="K484">
        <v>14</v>
      </c>
      <c r="L484" s="2">
        <v>261</v>
      </c>
      <c r="M484">
        <v>0.2</v>
      </c>
      <c r="N484" s="2">
        <v>174.01</v>
      </c>
      <c r="O484" s="2">
        <v>2923.2</v>
      </c>
      <c r="P484" s="2">
        <v>2436.14</v>
      </c>
      <c r="Q484" s="2">
        <v>487.06</v>
      </c>
      <c r="R484">
        <v>0</v>
      </c>
      <c r="S484" s="2" t="str">
        <f>TEXT(data[[#This Row],[Date]],"mmm yyyy")</f>
        <v>Sep 2024</v>
      </c>
      <c r="T484" s="8">
        <f>data[[#This Row],[Profit]]/data[[#This Row],[Revenue]]</f>
        <v>0.16661877394636015</v>
      </c>
    </row>
    <row r="485" spans="1:20" x14ac:dyDescent="0.3">
      <c r="A485">
        <v>10483</v>
      </c>
      <c r="B485" t="s">
        <v>364</v>
      </c>
      <c r="C485" t="s">
        <v>609</v>
      </c>
      <c r="D485" t="s">
        <v>622</v>
      </c>
      <c r="E485" t="s">
        <v>628</v>
      </c>
      <c r="F485" t="s">
        <v>1099</v>
      </c>
      <c r="G485" t="s">
        <v>1766</v>
      </c>
      <c r="H485" t="s">
        <v>1769</v>
      </c>
      <c r="I485" t="s">
        <v>1775</v>
      </c>
      <c r="J485" t="s">
        <v>1777</v>
      </c>
      <c r="K485">
        <v>19</v>
      </c>
      <c r="L485" s="2">
        <v>160</v>
      </c>
      <c r="M485">
        <v>0.15</v>
      </c>
      <c r="N485" s="2">
        <v>101.99</v>
      </c>
      <c r="O485" s="2">
        <v>2584</v>
      </c>
      <c r="P485" s="2">
        <v>1937.81</v>
      </c>
      <c r="Q485" s="2">
        <v>646.19000000000005</v>
      </c>
      <c r="R485">
        <v>1</v>
      </c>
      <c r="S485" s="2" t="str">
        <f>TEXT(data[[#This Row],[Date]],"mmm yyyy")</f>
        <v>Jun 2024</v>
      </c>
      <c r="T485" s="8">
        <f>data[[#This Row],[Profit]]/data[[#This Row],[Revenue]]</f>
        <v>0.25007352941176475</v>
      </c>
    </row>
    <row r="486" spans="1:20" x14ac:dyDescent="0.3">
      <c r="A486">
        <v>10484</v>
      </c>
      <c r="B486" t="s">
        <v>191</v>
      </c>
      <c r="C486" t="s">
        <v>608</v>
      </c>
      <c r="D486" t="s">
        <v>614</v>
      </c>
      <c r="E486" t="s">
        <v>629</v>
      </c>
      <c r="F486" t="s">
        <v>1100</v>
      </c>
      <c r="G486" t="s">
        <v>1766</v>
      </c>
      <c r="H486" t="s">
        <v>1770</v>
      </c>
      <c r="I486" t="s">
        <v>1774</v>
      </c>
      <c r="J486" t="s">
        <v>1776</v>
      </c>
      <c r="K486">
        <v>11</v>
      </c>
      <c r="L486" s="2">
        <v>986</v>
      </c>
      <c r="M486">
        <v>0.2</v>
      </c>
      <c r="N486" s="2">
        <v>599.91</v>
      </c>
      <c r="O486" s="2">
        <v>8676.7999999999993</v>
      </c>
      <c r="P486" s="2">
        <v>6599.01</v>
      </c>
      <c r="Q486" s="2">
        <v>2077.79</v>
      </c>
      <c r="R486">
        <v>0</v>
      </c>
      <c r="S486" s="2" t="str">
        <f>TEXT(data[[#This Row],[Date]],"mmm yyyy")</f>
        <v>Oct 2024</v>
      </c>
      <c r="T486" s="8">
        <f>data[[#This Row],[Profit]]/data[[#This Row],[Revenue]]</f>
        <v>0.23946501014198784</v>
      </c>
    </row>
    <row r="487" spans="1:20" x14ac:dyDescent="0.3">
      <c r="A487">
        <v>10485</v>
      </c>
      <c r="B487" t="s">
        <v>289</v>
      </c>
      <c r="C487" t="s">
        <v>609</v>
      </c>
      <c r="D487" t="s">
        <v>623</v>
      </c>
      <c r="E487" t="s">
        <v>628</v>
      </c>
      <c r="F487" t="s">
        <v>1101</v>
      </c>
      <c r="G487" t="s">
        <v>1766</v>
      </c>
      <c r="H487" t="s">
        <v>1772</v>
      </c>
      <c r="I487" t="s">
        <v>1773</v>
      </c>
      <c r="J487" t="s">
        <v>1777</v>
      </c>
      <c r="K487">
        <v>9</v>
      </c>
      <c r="L487" s="2">
        <v>1161</v>
      </c>
      <c r="M487">
        <v>0.1</v>
      </c>
      <c r="N487" s="2">
        <v>852.56</v>
      </c>
      <c r="O487" s="2">
        <v>9404.1</v>
      </c>
      <c r="P487" s="2">
        <v>7673.04</v>
      </c>
      <c r="Q487" s="2">
        <v>1731.06</v>
      </c>
      <c r="R487">
        <v>1</v>
      </c>
      <c r="S487" s="2" t="str">
        <f>TEXT(data[[#This Row],[Date]],"mmm yyyy")</f>
        <v>Apr 2025</v>
      </c>
      <c r="T487" s="8">
        <f>data[[#This Row],[Profit]]/data[[#This Row],[Revenue]]</f>
        <v>0.18407503110345486</v>
      </c>
    </row>
    <row r="488" spans="1:20" x14ac:dyDescent="0.3">
      <c r="A488">
        <v>10486</v>
      </c>
      <c r="B488" t="s">
        <v>365</v>
      </c>
      <c r="C488" t="s">
        <v>609</v>
      </c>
      <c r="D488" t="s">
        <v>613</v>
      </c>
      <c r="E488" t="s">
        <v>629</v>
      </c>
      <c r="F488" t="s">
        <v>1102</v>
      </c>
      <c r="G488" t="s">
        <v>1764</v>
      </c>
      <c r="H488" t="s">
        <v>1770</v>
      </c>
      <c r="I488" t="s">
        <v>1773</v>
      </c>
      <c r="J488" t="s">
        <v>1777</v>
      </c>
      <c r="K488">
        <v>7</v>
      </c>
      <c r="L488" s="2">
        <v>530</v>
      </c>
      <c r="M488">
        <v>0.05</v>
      </c>
      <c r="N488" s="2">
        <v>292.7</v>
      </c>
      <c r="O488" s="2">
        <v>3524.5</v>
      </c>
      <c r="P488" s="2">
        <v>2048.9</v>
      </c>
      <c r="Q488" s="2">
        <v>1475.6</v>
      </c>
      <c r="R488">
        <v>0</v>
      </c>
      <c r="S488" s="2" t="str">
        <f>TEXT(data[[#This Row],[Date]],"mmm yyyy")</f>
        <v>Jul 2024</v>
      </c>
      <c r="T488" s="8">
        <f>data[[#This Row],[Profit]]/data[[#This Row],[Revenue]]</f>
        <v>0.418669314796425</v>
      </c>
    </row>
    <row r="489" spans="1:20" x14ac:dyDescent="0.3">
      <c r="A489">
        <v>10487</v>
      </c>
      <c r="B489" t="s">
        <v>366</v>
      </c>
      <c r="C489" t="s">
        <v>609</v>
      </c>
      <c r="D489" t="s">
        <v>613</v>
      </c>
      <c r="E489" t="s">
        <v>626</v>
      </c>
      <c r="F489" t="s">
        <v>1103</v>
      </c>
      <c r="G489" t="s">
        <v>1759</v>
      </c>
      <c r="H489" t="s">
        <v>1767</v>
      </c>
      <c r="I489" t="s">
        <v>1773</v>
      </c>
      <c r="J489" t="s">
        <v>1776</v>
      </c>
      <c r="K489">
        <v>3</v>
      </c>
      <c r="L489" s="2">
        <v>99</v>
      </c>
      <c r="M489">
        <v>0.15</v>
      </c>
      <c r="N489" s="2">
        <v>50.26</v>
      </c>
      <c r="O489" s="2">
        <v>252.45</v>
      </c>
      <c r="P489" s="2">
        <v>150.78</v>
      </c>
      <c r="Q489" s="2">
        <v>101.67</v>
      </c>
      <c r="R489">
        <v>1</v>
      </c>
      <c r="S489" s="2" t="str">
        <f>TEXT(data[[#This Row],[Date]],"mmm yyyy")</f>
        <v>Feb 2025</v>
      </c>
      <c r="T489" s="8">
        <f>data[[#This Row],[Profit]]/data[[#This Row],[Revenue]]</f>
        <v>0.40273321449792038</v>
      </c>
    </row>
    <row r="490" spans="1:20" x14ac:dyDescent="0.3">
      <c r="A490">
        <v>10488</v>
      </c>
      <c r="B490" t="s">
        <v>367</v>
      </c>
      <c r="C490" t="s">
        <v>607</v>
      </c>
      <c r="D490" t="s">
        <v>621</v>
      </c>
      <c r="E490" t="s">
        <v>626</v>
      </c>
      <c r="F490" t="s">
        <v>1104</v>
      </c>
      <c r="G490" t="s">
        <v>1759</v>
      </c>
      <c r="H490" t="s">
        <v>1772</v>
      </c>
      <c r="I490" t="s">
        <v>1773</v>
      </c>
      <c r="J490" t="s">
        <v>1778</v>
      </c>
      <c r="K490">
        <v>16</v>
      </c>
      <c r="L490" s="2">
        <v>812</v>
      </c>
      <c r="M490">
        <v>0.15</v>
      </c>
      <c r="N490" s="2">
        <v>486.2</v>
      </c>
      <c r="O490" s="2">
        <v>11043.2</v>
      </c>
      <c r="P490" s="2">
        <v>7779.2</v>
      </c>
      <c r="Q490" s="2">
        <v>3264</v>
      </c>
      <c r="R490">
        <v>0</v>
      </c>
      <c r="S490" s="2" t="str">
        <f>TEXT(data[[#This Row],[Date]],"mmm yyyy")</f>
        <v>Nov 2024</v>
      </c>
      <c r="T490" s="8">
        <f>data[[#This Row],[Profit]]/data[[#This Row],[Revenue]]</f>
        <v>0.29556650246305416</v>
      </c>
    </row>
    <row r="491" spans="1:20" x14ac:dyDescent="0.3">
      <c r="A491">
        <v>10489</v>
      </c>
      <c r="B491" t="s">
        <v>368</v>
      </c>
      <c r="C491" t="s">
        <v>609</v>
      </c>
      <c r="D491" t="s">
        <v>622</v>
      </c>
      <c r="E491" t="s">
        <v>628</v>
      </c>
      <c r="F491" t="s">
        <v>1105</v>
      </c>
      <c r="G491" t="s">
        <v>1760</v>
      </c>
      <c r="H491" t="s">
        <v>1768</v>
      </c>
      <c r="I491" t="s">
        <v>1775</v>
      </c>
      <c r="J491" t="s">
        <v>1778</v>
      </c>
      <c r="K491">
        <v>14</v>
      </c>
      <c r="L491" s="2">
        <v>856</v>
      </c>
      <c r="M491">
        <v>0.15</v>
      </c>
      <c r="N491" s="2">
        <v>577.30999999999995</v>
      </c>
      <c r="O491" s="2">
        <v>10186.4</v>
      </c>
      <c r="P491" s="2">
        <v>8082.34</v>
      </c>
      <c r="Q491" s="2">
        <v>2104.06</v>
      </c>
      <c r="R491">
        <v>0</v>
      </c>
      <c r="S491" s="2" t="str">
        <f>TEXT(data[[#This Row],[Date]],"mmm yyyy")</f>
        <v>Apr 2024</v>
      </c>
      <c r="T491" s="8">
        <f>data[[#This Row],[Profit]]/data[[#This Row],[Revenue]]</f>
        <v>0.20655579989004949</v>
      </c>
    </row>
    <row r="492" spans="1:20" x14ac:dyDescent="0.3">
      <c r="A492">
        <v>10490</v>
      </c>
      <c r="B492" t="s">
        <v>49</v>
      </c>
      <c r="C492" t="s">
        <v>607</v>
      </c>
      <c r="D492" t="s">
        <v>624</v>
      </c>
      <c r="E492" t="s">
        <v>626</v>
      </c>
      <c r="F492" t="s">
        <v>1106</v>
      </c>
      <c r="G492" t="s">
        <v>1763</v>
      </c>
      <c r="H492" t="s">
        <v>1767</v>
      </c>
      <c r="I492" t="s">
        <v>1774</v>
      </c>
      <c r="J492" t="s">
        <v>1776</v>
      </c>
      <c r="K492">
        <v>17</v>
      </c>
      <c r="L492" s="2">
        <v>218</v>
      </c>
      <c r="M492">
        <v>0.15</v>
      </c>
      <c r="N492" s="2">
        <v>114.65</v>
      </c>
      <c r="O492" s="2">
        <v>3150.1</v>
      </c>
      <c r="P492" s="2">
        <v>1949.05</v>
      </c>
      <c r="Q492" s="2">
        <v>1201.05</v>
      </c>
      <c r="R492">
        <v>0</v>
      </c>
      <c r="S492" s="2" t="str">
        <f>TEXT(data[[#This Row],[Date]],"mmm yyyy")</f>
        <v>Feb 2025</v>
      </c>
      <c r="T492" s="8">
        <f>data[[#This Row],[Profit]]/data[[#This Row],[Revenue]]</f>
        <v>0.38127361036157581</v>
      </c>
    </row>
    <row r="493" spans="1:20" x14ac:dyDescent="0.3">
      <c r="A493">
        <v>10491</v>
      </c>
      <c r="B493" t="s">
        <v>369</v>
      </c>
      <c r="C493" t="s">
        <v>609</v>
      </c>
      <c r="D493" t="s">
        <v>619</v>
      </c>
      <c r="E493" t="s">
        <v>626</v>
      </c>
      <c r="F493" t="s">
        <v>1107</v>
      </c>
      <c r="G493" t="s">
        <v>1759</v>
      </c>
      <c r="H493" t="s">
        <v>1772</v>
      </c>
      <c r="I493" t="s">
        <v>1775</v>
      </c>
      <c r="J493" t="s">
        <v>1779</v>
      </c>
      <c r="K493">
        <v>20</v>
      </c>
      <c r="L493" s="2">
        <v>546</v>
      </c>
      <c r="M493">
        <v>0.15</v>
      </c>
      <c r="N493" s="2">
        <v>363.77</v>
      </c>
      <c r="O493" s="2">
        <v>9282</v>
      </c>
      <c r="P493" s="2">
        <v>7275.4</v>
      </c>
      <c r="Q493" s="2">
        <v>2006.6</v>
      </c>
      <c r="R493">
        <v>0</v>
      </c>
      <c r="S493" s="2" t="str">
        <f>TEXT(data[[#This Row],[Date]],"mmm yyyy")</f>
        <v>Nov 2025</v>
      </c>
      <c r="T493" s="8">
        <f>data[[#This Row],[Profit]]/data[[#This Row],[Revenue]]</f>
        <v>0.21618185735832793</v>
      </c>
    </row>
    <row r="494" spans="1:20" x14ac:dyDescent="0.3">
      <c r="A494">
        <v>10492</v>
      </c>
      <c r="B494" t="s">
        <v>187</v>
      </c>
      <c r="C494" t="s">
        <v>607</v>
      </c>
      <c r="D494" t="s">
        <v>624</v>
      </c>
      <c r="E494" t="s">
        <v>627</v>
      </c>
      <c r="F494" t="s">
        <v>1108</v>
      </c>
      <c r="G494" t="s">
        <v>1760</v>
      </c>
      <c r="H494" t="s">
        <v>1772</v>
      </c>
      <c r="I494" t="s">
        <v>1775</v>
      </c>
      <c r="J494" t="s">
        <v>1779</v>
      </c>
      <c r="K494">
        <v>20</v>
      </c>
      <c r="L494" s="2">
        <v>1143</v>
      </c>
      <c r="M494">
        <v>0.2</v>
      </c>
      <c r="N494" s="2">
        <v>586.51</v>
      </c>
      <c r="O494" s="2">
        <v>18288</v>
      </c>
      <c r="P494" s="2">
        <v>11730.2</v>
      </c>
      <c r="Q494" s="2">
        <v>6557.8</v>
      </c>
      <c r="R494">
        <v>0</v>
      </c>
      <c r="S494" s="2" t="str">
        <f>TEXT(data[[#This Row],[Date]],"mmm yyyy")</f>
        <v>Jul 2025</v>
      </c>
      <c r="T494" s="8">
        <f>data[[#This Row],[Profit]]/data[[#This Row],[Revenue]]</f>
        <v>0.35858486439195103</v>
      </c>
    </row>
    <row r="495" spans="1:20" x14ac:dyDescent="0.3">
      <c r="A495">
        <v>10493</v>
      </c>
      <c r="B495" t="s">
        <v>370</v>
      </c>
      <c r="C495" t="s">
        <v>608</v>
      </c>
      <c r="D495" t="s">
        <v>615</v>
      </c>
      <c r="E495" t="s">
        <v>629</v>
      </c>
      <c r="F495" t="s">
        <v>1109</v>
      </c>
      <c r="G495" t="s">
        <v>1759</v>
      </c>
      <c r="H495" t="s">
        <v>1772</v>
      </c>
      <c r="I495" t="s">
        <v>1773</v>
      </c>
      <c r="J495" t="s">
        <v>1777</v>
      </c>
      <c r="K495">
        <v>18</v>
      </c>
      <c r="L495" s="2">
        <v>1149</v>
      </c>
      <c r="M495">
        <v>0</v>
      </c>
      <c r="N495" s="2">
        <v>777</v>
      </c>
      <c r="O495" s="2">
        <v>20682</v>
      </c>
      <c r="P495" s="2">
        <v>13986</v>
      </c>
      <c r="Q495" s="2">
        <v>6696</v>
      </c>
      <c r="R495">
        <v>0</v>
      </c>
      <c r="S495" s="2" t="str">
        <f>TEXT(data[[#This Row],[Date]],"mmm yyyy")</f>
        <v>May 2024</v>
      </c>
      <c r="T495" s="8">
        <f>data[[#This Row],[Profit]]/data[[#This Row],[Revenue]]</f>
        <v>0.32375979112271541</v>
      </c>
    </row>
    <row r="496" spans="1:20" x14ac:dyDescent="0.3">
      <c r="A496">
        <v>10494</v>
      </c>
      <c r="B496" t="s">
        <v>371</v>
      </c>
      <c r="C496" t="s">
        <v>606</v>
      </c>
      <c r="D496" t="s">
        <v>610</v>
      </c>
      <c r="E496" t="s">
        <v>627</v>
      </c>
      <c r="F496" t="s">
        <v>1110</v>
      </c>
      <c r="G496" t="s">
        <v>1759</v>
      </c>
      <c r="H496" t="s">
        <v>1770</v>
      </c>
      <c r="I496" t="s">
        <v>1775</v>
      </c>
      <c r="J496" t="s">
        <v>1779</v>
      </c>
      <c r="K496">
        <v>8</v>
      </c>
      <c r="L496" s="2">
        <v>790</v>
      </c>
      <c r="M496">
        <v>0.2</v>
      </c>
      <c r="N496" s="2">
        <v>588.45000000000005</v>
      </c>
      <c r="O496" s="2">
        <v>5056</v>
      </c>
      <c r="P496" s="2">
        <v>4707.6000000000004</v>
      </c>
      <c r="Q496" s="2">
        <v>348.4</v>
      </c>
      <c r="R496">
        <v>0</v>
      </c>
      <c r="S496" s="2" t="str">
        <f>TEXT(data[[#This Row],[Date]],"mmm yyyy")</f>
        <v>Sep 2025</v>
      </c>
      <c r="T496" s="8">
        <f>data[[#This Row],[Profit]]/data[[#This Row],[Revenue]]</f>
        <v>6.8908227848101258E-2</v>
      </c>
    </row>
    <row r="497" spans="1:20" x14ac:dyDescent="0.3">
      <c r="A497">
        <v>10495</v>
      </c>
      <c r="B497" t="s">
        <v>372</v>
      </c>
      <c r="C497" t="s">
        <v>606</v>
      </c>
      <c r="D497" t="s">
        <v>610</v>
      </c>
      <c r="E497" t="s">
        <v>629</v>
      </c>
      <c r="F497" t="s">
        <v>1111</v>
      </c>
      <c r="G497" t="s">
        <v>1760</v>
      </c>
      <c r="H497" t="s">
        <v>1767</v>
      </c>
      <c r="I497" t="s">
        <v>1773</v>
      </c>
      <c r="J497" t="s">
        <v>1777</v>
      </c>
      <c r="K497">
        <v>18</v>
      </c>
      <c r="L497" s="2">
        <v>124</v>
      </c>
      <c r="M497">
        <v>0.1</v>
      </c>
      <c r="N497" s="2">
        <v>91</v>
      </c>
      <c r="O497" s="2">
        <v>2008.8</v>
      </c>
      <c r="P497" s="2">
        <v>1638</v>
      </c>
      <c r="Q497" s="2">
        <v>370.8</v>
      </c>
      <c r="R497">
        <v>0</v>
      </c>
      <c r="S497" s="2" t="str">
        <f>TEXT(data[[#This Row],[Date]],"mmm yyyy")</f>
        <v>Jun 2025</v>
      </c>
      <c r="T497" s="8">
        <f>data[[#This Row],[Profit]]/data[[#This Row],[Revenue]]</f>
        <v>0.18458781362007171</v>
      </c>
    </row>
    <row r="498" spans="1:20" x14ac:dyDescent="0.3">
      <c r="A498">
        <v>10496</v>
      </c>
      <c r="B498" t="s">
        <v>373</v>
      </c>
      <c r="C498" t="s">
        <v>609</v>
      </c>
      <c r="D498" t="s">
        <v>619</v>
      </c>
      <c r="E498" t="s">
        <v>627</v>
      </c>
      <c r="F498" t="s">
        <v>1112</v>
      </c>
      <c r="G498" t="s">
        <v>1760</v>
      </c>
      <c r="H498" t="s">
        <v>1769</v>
      </c>
      <c r="I498" t="s">
        <v>1774</v>
      </c>
      <c r="J498" t="s">
        <v>1776</v>
      </c>
      <c r="K498">
        <v>3</v>
      </c>
      <c r="L498" s="2">
        <v>498</v>
      </c>
      <c r="M498">
        <v>0.1</v>
      </c>
      <c r="N498" s="2">
        <v>290.02</v>
      </c>
      <c r="O498" s="2">
        <v>1344.6</v>
      </c>
      <c r="P498" s="2">
        <v>870.06</v>
      </c>
      <c r="Q498" s="2">
        <v>474.54</v>
      </c>
      <c r="R498">
        <v>0</v>
      </c>
      <c r="S498" s="2" t="str">
        <f>TEXT(data[[#This Row],[Date]],"mmm yyyy")</f>
        <v>Jan 2025</v>
      </c>
      <c r="T498" s="8">
        <f>data[[#This Row],[Profit]]/data[[#This Row],[Revenue]]</f>
        <v>0.35292280232039275</v>
      </c>
    </row>
    <row r="499" spans="1:20" x14ac:dyDescent="0.3">
      <c r="A499">
        <v>10497</v>
      </c>
      <c r="B499" t="s">
        <v>374</v>
      </c>
      <c r="C499" t="s">
        <v>607</v>
      </c>
      <c r="D499" t="s">
        <v>621</v>
      </c>
      <c r="E499" t="s">
        <v>627</v>
      </c>
      <c r="F499" t="s">
        <v>1113</v>
      </c>
      <c r="G499" t="s">
        <v>1760</v>
      </c>
      <c r="H499" t="s">
        <v>1767</v>
      </c>
      <c r="I499" t="s">
        <v>1775</v>
      </c>
      <c r="J499" t="s">
        <v>1776</v>
      </c>
      <c r="K499">
        <v>4</v>
      </c>
      <c r="L499" s="2">
        <v>290</v>
      </c>
      <c r="M499">
        <v>0.05</v>
      </c>
      <c r="N499" s="2">
        <v>209.33</v>
      </c>
      <c r="O499" s="2">
        <v>1102</v>
      </c>
      <c r="P499" s="2">
        <v>837.32</v>
      </c>
      <c r="Q499" s="2">
        <v>264.68</v>
      </c>
      <c r="R499">
        <v>0</v>
      </c>
      <c r="S499" s="2" t="str">
        <f>TEXT(data[[#This Row],[Date]],"mmm yyyy")</f>
        <v>Nov 2024</v>
      </c>
      <c r="T499" s="8">
        <f>data[[#This Row],[Profit]]/data[[#This Row],[Revenue]]</f>
        <v>0.24018148820326679</v>
      </c>
    </row>
    <row r="500" spans="1:20" x14ac:dyDescent="0.3">
      <c r="A500">
        <v>10498</v>
      </c>
      <c r="B500" t="s">
        <v>375</v>
      </c>
      <c r="C500" t="s">
        <v>608</v>
      </c>
      <c r="D500" t="s">
        <v>615</v>
      </c>
      <c r="E500" t="s">
        <v>628</v>
      </c>
      <c r="F500" t="s">
        <v>1010</v>
      </c>
      <c r="G500" t="s">
        <v>1764</v>
      </c>
      <c r="H500" t="s">
        <v>1770</v>
      </c>
      <c r="I500" t="s">
        <v>1775</v>
      </c>
      <c r="J500" t="s">
        <v>1778</v>
      </c>
      <c r="K500">
        <v>11</v>
      </c>
      <c r="L500" s="2">
        <v>934</v>
      </c>
      <c r="M500">
        <v>0.05</v>
      </c>
      <c r="N500" s="2">
        <v>682.05</v>
      </c>
      <c r="O500" s="2">
        <v>9760.2999999999993</v>
      </c>
      <c r="P500" s="2">
        <v>7502.55</v>
      </c>
      <c r="Q500" s="2">
        <v>2257.75</v>
      </c>
      <c r="R500">
        <v>0</v>
      </c>
      <c r="S500" s="2" t="str">
        <f>TEXT(data[[#This Row],[Date]],"mmm yyyy")</f>
        <v>Dec 2025</v>
      </c>
      <c r="T500" s="8">
        <f>data[[#This Row],[Profit]]/data[[#This Row],[Revenue]]</f>
        <v>0.23131973402456893</v>
      </c>
    </row>
    <row r="501" spans="1:20" x14ac:dyDescent="0.3">
      <c r="A501">
        <v>10499</v>
      </c>
      <c r="B501" t="s">
        <v>354</v>
      </c>
      <c r="C501" t="s">
        <v>608</v>
      </c>
      <c r="D501" t="s">
        <v>618</v>
      </c>
      <c r="E501" t="s">
        <v>626</v>
      </c>
      <c r="F501" t="s">
        <v>1114</v>
      </c>
      <c r="G501" t="s">
        <v>1762</v>
      </c>
      <c r="H501" t="s">
        <v>1769</v>
      </c>
      <c r="I501" t="s">
        <v>1773</v>
      </c>
      <c r="J501" t="s">
        <v>1778</v>
      </c>
      <c r="K501">
        <v>5</v>
      </c>
      <c r="L501" s="2">
        <v>340</v>
      </c>
      <c r="M501">
        <v>0.05</v>
      </c>
      <c r="N501" s="2">
        <v>229.05</v>
      </c>
      <c r="O501" s="2">
        <v>1615</v>
      </c>
      <c r="P501" s="2">
        <v>1145.25</v>
      </c>
      <c r="Q501" s="2">
        <v>469.75</v>
      </c>
      <c r="R501">
        <v>0</v>
      </c>
      <c r="S501" s="2" t="str">
        <f>TEXT(data[[#This Row],[Date]],"mmm yyyy")</f>
        <v>Nov 2025</v>
      </c>
      <c r="T501" s="8">
        <f>data[[#This Row],[Profit]]/data[[#This Row],[Revenue]]</f>
        <v>0.29086687306501546</v>
      </c>
    </row>
    <row r="502" spans="1:20" x14ac:dyDescent="0.3">
      <c r="A502">
        <v>10500</v>
      </c>
      <c r="B502" t="s">
        <v>376</v>
      </c>
      <c r="C502" t="s">
        <v>606</v>
      </c>
      <c r="D502" t="s">
        <v>620</v>
      </c>
      <c r="E502" t="s">
        <v>629</v>
      </c>
      <c r="F502" t="s">
        <v>1115</v>
      </c>
      <c r="G502" t="s">
        <v>1765</v>
      </c>
      <c r="H502" t="s">
        <v>1770</v>
      </c>
      <c r="I502" t="s">
        <v>1773</v>
      </c>
      <c r="J502" t="s">
        <v>1777</v>
      </c>
      <c r="K502">
        <v>15</v>
      </c>
      <c r="L502" s="2">
        <v>688</v>
      </c>
      <c r="M502">
        <v>0.2</v>
      </c>
      <c r="N502" s="2">
        <v>371.45</v>
      </c>
      <c r="O502" s="2">
        <v>8256</v>
      </c>
      <c r="P502" s="2">
        <v>5571.75</v>
      </c>
      <c r="Q502" s="2">
        <v>2684.25</v>
      </c>
      <c r="R502">
        <v>0</v>
      </c>
      <c r="S502" s="2" t="str">
        <f>TEXT(data[[#This Row],[Date]],"mmm yyyy")</f>
        <v>Apr 2024</v>
      </c>
      <c r="T502" s="8">
        <f>data[[#This Row],[Profit]]/data[[#This Row],[Revenue]]</f>
        <v>0.32512718023255816</v>
      </c>
    </row>
    <row r="503" spans="1:20" x14ac:dyDescent="0.3">
      <c r="A503">
        <v>10501</v>
      </c>
      <c r="B503" t="s">
        <v>217</v>
      </c>
      <c r="C503" t="s">
        <v>609</v>
      </c>
      <c r="D503" t="s">
        <v>622</v>
      </c>
      <c r="E503" t="s">
        <v>628</v>
      </c>
      <c r="F503" t="s">
        <v>1116</v>
      </c>
      <c r="G503" t="s">
        <v>1760</v>
      </c>
      <c r="H503" t="s">
        <v>1768</v>
      </c>
      <c r="I503" t="s">
        <v>1775</v>
      </c>
      <c r="J503" t="s">
        <v>1778</v>
      </c>
      <c r="K503">
        <v>3</v>
      </c>
      <c r="L503" s="2">
        <v>1210</v>
      </c>
      <c r="M503">
        <v>0.05</v>
      </c>
      <c r="N503" s="2">
        <v>679.67</v>
      </c>
      <c r="O503" s="2">
        <v>3448.5</v>
      </c>
      <c r="P503" s="2">
        <v>2039.01</v>
      </c>
      <c r="Q503" s="2">
        <v>1409.49</v>
      </c>
      <c r="R503">
        <v>0</v>
      </c>
      <c r="S503" s="2" t="str">
        <f>TEXT(data[[#This Row],[Date]],"mmm yyyy")</f>
        <v>Feb 2025</v>
      </c>
      <c r="T503" s="8">
        <f>data[[#This Row],[Profit]]/data[[#This Row],[Revenue]]</f>
        <v>0.40872553284036539</v>
      </c>
    </row>
    <row r="504" spans="1:20" x14ac:dyDescent="0.3">
      <c r="A504">
        <v>10502</v>
      </c>
      <c r="B504" t="s">
        <v>377</v>
      </c>
      <c r="C504" t="s">
        <v>608</v>
      </c>
      <c r="D504" t="s">
        <v>618</v>
      </c>
      <c r="E504" t="s">
        <v>626</v>
      </c>
      <c r="F504" t="s">
        <v>1117</v>
      </c>
      <c r="G504" t="s">
        <v>1763</v>
      </c>
      <c r="H504" t="s">
        <v>1769</v>
      </c>
      <c r="I504" t="s">
        <v>1775</v>
      </c>
      <c r="J504" t="s">
        <v>1778</v>
      </c>
      <c r="K504">
        <v>12</v>
      </c>
      <c r="L504" s="2">
        <v>373</v>
      </c>
      <c r="M504">
        <v>0.15</v>
      </c>
      <c r="N504" s="2">
        <v>236.08</v>
      </c>
      <c r="O504" s="2">
        <v>3804.6</v>
      </c>
      <c r="P504" s="2">
        <v>2832.96</v>
      </c>
      <c r="Q504" s="2">
        <v>971.64</v>
      </c>
      <c r="R504">
        <v>0</v>
      </c>
      <c r="S504" s="2" t="str">
        <f>TEXT(data[[#This Row],[Date]],"mmm yyyy")</f>
        <v>Jan 2025</v>
      </c>
      <c r="T504" s="8">
        <f>data[[#This Row],[Profit]]/data[[#This Row],[Revenue]]</f>
        <v>0.25538558586973664</v>
      </c>
    </row>
    <row r="505" spans="1:20" x14ac:dyDescent="0.3">
      <c r="A505">
        <v>10503</v>
      </c>
      <c r="B505" t="s">
        <v>179</v>
      </c>
      <c r="C505" t="s">
        <v>609</v>
      </c>
      <c r="D505" t="s">
        <v>613</v>
      </c>
      <c r="E505" t="s">
        <v>628</v>
      </c>
      <c r="F505" t="s">
        <v>1118</v>
      </c>
      <c r="G505" t="s">
        <v>1761</v>
      </c>
      <c r="H505" t="s">
        <v>1767</v>
      </c>
      <c r="I505" t="s">
        <v>1775</v>
      </c>
      <c r="J505" t="s">
        <v>1776</v>
      </c>
      <c r="K505">
        <v>15</v>
      </c>
      <c r="L505" s="2">
        <v>163</v>
      </c>
      <c r="M505">
        <v>0.1</v>
      </c>
      <c r="N505" s="2">
        <v>89.15</v>
      </c>
      <c r="O505" s="2">
        <v>2200.5</v>
      </c>
      <c r="P505" s="2">
        <v>1337.25</v>
      </c>
      <c r="Q505" s="2">
        <v>863.25</v>
      </c>
      <c r="R505">
        <v>1</v>
      </c>
      <c r="S505" s="2" t="str">
        <f>TEXT(data[[#This Row],[Date]],"mmm yyyy")</f>
        <v>Nov 2024</v>
      </c>
      <c r="T505" s="8">
        <f>data[[#This Row],[Profit]]/data[[#This Row],[Revenue]]</f>
        <v>0.39229720518064076</v>
      </c>
    </row>
    <row r="506" spans="1:20" x14ac:dyDescent="0.3">
      <c r="A506">
        <v>10504</v>
      </c>
      <c r="B506" t="s">
        <v>378</v>
      </c>
      <c r="C506" t="s">
        <v>607</v>
      </c>
      <c r="D506" t="s">
        <v>611</v>
      </c>
      <c r="E506" t="s">
        <v>628</v>
      </c>
      <c r="F506" t="s">
        <v>1119</v>
      </c>
      <c r="G506" t="s">
        <v>1760</v>
      </c>
      <c r="H506" t="s">
        <v>1772</v>
      </c>
      <c r="I506" t="s">
        <v>1775</v>
      </c>
      <c r="J506" t="s">
        <v>1779</v>
      </c>
      <c r="K506">
        <v>9</v>
      </c>
      <c r="L506" s="2">
        <v>1006</v>
      </c>
      <c r="M506">
        <v>0.15</v>
      </c>
      <c r="N506" s="2">
        <v>528.92999999999995</v>
      </c>
      <c r="O506" s="2">
        <v>7695.9</v>
      </c>
      <c r="P506" s="2">
        <v>4760.37</v>
      </c>
      <c r="Q506" s="2">
        <v>2935.53</v>
      </c>
      <c r="R506">
        <v>0</v>
      </c>
      <c r="S506" s="2" t="str">
        <f>TEXT(data[[#This Row],[Date]],"mmm yyyy")</f>
        <v>Jun 2025</v>
      </c>
      <c r="T506" s="8">
        <f>data[[#This Row],[Profit]]/data[[#This Row],[Revenue]]</f>
        <v>0.38144076716173553</v>
      </c>
    </row>
    <row r="507" spans="1:20" x14ac:dyDescent="0.3">
      <c r="A507">
        <v>10505</v>
      </c>
      <c r="B507" t="s">
        <v>379</v>
      </c>
      <c r="C507" t="s">
        <v>606</v>
      </c>
      <c r="D507" t="s">
        <v>616</v>
      </c>
      <c r="E507" t="s">
        <v>628</v>
      </c>
      <c r="F507" t="s">
        <v>1120</v>
      </c>
      <c r="G507" t="s">
        <v>1765</v>
      </c>
      <c r="H507" t="s">
        <v>1770</v>
      </c>
      <c r="I507" t="s">
        <v>1775</v>
      </c>
      <c r="J507" t="s">
        <v>1778</v>
      </c>
      <c r="K507">
        <v>18</v>
      </c>
      <c r="L507" s="2">
        <v>526</v>
      </c>
      <c r="M507">
        <v>0</v>
      </c>
      <c r="N507" s="2">
        <v>384.4</v>
      </c>
      <c r="O507" s="2">
        <v>9468</v>
      </c>
      <c r="P507" s="2">
        <v>6919.2</v>
      </c>
      <c r="Q507" s="2">
        <v>2548.8000000000002</v>
      </c>
      <c r="R507">
        <v>0</v>
      </c>
      <c r="S507" s="2" t="str">
        <f>TEXT(data[[#This Row],[Date]],"mmm yyyy")</f>
        <v>Nov 2024</v>
      </c>
      <c r="T507" s="8">
        <f>data[[#This Row],[Profit]]/data[[#This Row],[Revenue]]</f>
        <v>0.26920152091254756</v>
      </c>
    </row>
    <row r="508" spans="1:20" x14ac:dyDescent="0.3">
      <c r="A508">
        <v>10506</v>
      </c>
      <c r="B508" t="s">
        <v>380</v>
      </c>
      <c r="C508" t="s">
        <v>607</v>
      </c>
      <c r="D508" t="s">
        <v>611</v>
      </c>
      <c r="E508" t="s">
        <v>629</v>
      </c>
      <c r="F508" t="s">
        <v>1121</v>
      </c>
      <c r="G508" t="s">
        <v>1760</v>
      </c>
      <c r="H508" t="s">
        <v>1772</v>
      </c>
      <c r="I508" t="s">
        <v>1775</v>
      </c>
      <c r="J508" t="s">
        <v>1776</v>
      </c>
      <c r="K508">
        <v>16</v>
      </c>
      <c r="L508" s="2">
        <v>1103</v>
      </c>
      <c r="M508">
        <v>0.2</v>
      </c>
      <c r="N508" s="2">
        <v>817.43</v>
      </c>
      <c r="O508" s="2">
        <v>14118.4</v>
      </c>
      <c r="P508" s="2">
        <v>13078.88</v>
      </c>
      <c r="Q508" s="2">
        <v>1039.52</v>
      </c>
      <c r="R508">
        <v>0</v>
      </c>
      <c r="S508" s="2" t="str">
        <f>TEXT(data[[#This Row],[Date]],"mmm yyyy")</f>
        <v>Jun 2024</v>
      </c>
      <c r="T508" s="8">
        <f>data[[#This Row],[Profit]]/data[[#This Row],[Revenue]]</f>
        <v>7.3628739800543977E-2</v>
      </c>
    </row>
    <row r="509" spans="1:20" x14ac:dyDescent="0.3">
      <c r="A509">
        <v>10507</v>
      </c>
      <c r="B509" t="s">
        <v>177</v>
      </c>
      <c r="C509" t="s">
        <v>606</v>
      </c>
      <c r="D509" t="s">
        <v>616</v>
      </c>
      <c r="E509" t="s">
        <v>626</v>
      </c>
      <c r="F509" t="s">
        <v>705</v>
      </c>
      <c r="G509" t="s">
        <v>1759</v>
      </c>
      <c r="H509" t="s">
        <v>1772</v>
      </c>
      <c r="I509" t="s">
        <v>1775</v>
      </c>
      <c r="J509" t="s">
        <v>1779</v>
      </c>
      <c r="K509">
        <v>14</v>
      </c>
      <c r="L509" s="2">
        <v>718</v>
      </c>
      <c r="M509">
        <v>0</v>
      </c>
      <c r="N509" s="2">
        <v>443.09</v>
      </c>
      <c r="O509" s="2">
        <v>10052</v>
      </c>
      <c r="P509" s="2">
        <v>6203.26</v>
      </c>
      <c r="Q509" s="2">
        <v>3848.74</v>
      </c>
      <c r="R509">
        <v>1</v>
      </c>
      <c r="S509" s="2" t="str">
        <f>TEXT(data[[#This Row],[Date]],"mmm yyyy")</f>
        <v>Jul 2024</v>
      </c>
      <c r="T509" s="8">
        <f>data[[#This Row],[Profit]]/data[[#This Row],[Revenue]]</f>
        <v>0.38288300835654593</v>
      </c>
    </row>
    <row r="510" spans="1:20" x14ac:dyDescent="0.3">
      <c r="A510">
        <v>10508</v>
      </c>
      <c r="B510" t="s">
        <v>267</v>
      </c>
      <c r="C510" t="s">
        <v>608</v>
      </c>
      <c r="D510" t="s">
        <v>615</v>
      </c>
      <c r="E510" t="s">
        <v>626</v>
      </c>
      <c r="F510" t="s">
        <v>1122</v>
      </c>
      <c r="G510" t="s">
        <v>1761</v>
      </c>
      <c r="H510" t="s">
        <v>1772</v>
      </c>
      <c r="I510" t="s">
        <v>1774</v>
      </c>
      <c r="J510" t="s">
        <v>1779</v>
      </c>
      <c r="K510">
        <v>15</v>
      </c>
      <c r="L510" s="2">
        <v>1090</v>
      </c>
      <c r="M510">
        <v>0.15</v>
      </c>
      <c r="N510" s="2">
        <v>644.62</v>
      </c>
      <c r="O510" s="2">
        <v>13897.5</v>
      </c>
      <c r="P510" s="2">
        <v>9669.2999999999993</v>
      </c>
      <c r="Q510" s="2">
        <v>4228.2</v>
      </c>
      <c r="R510">
        <v>0</v>
      </c>
      <c r="S510" s="2" t="str">
        <f>TEXT(data[[#This Row],[Date]],"mmm yyyy")</f>
        <v>Aug 2024</v>
      </c>
      <c r="T510" s="8">
        <f>data[[#This Row],[Profit]]/data[[#This Row],[Revenue]]</f>
        <v>0.30424177010253639</v>
      </c>
    </row>
    <row r="511" spans="1:20" x14ac:dyDescent="0.3">
      <c r="A511">
        <v>10509</v>
      </c>
      <c r="B511" t="s">
        <v>381</v>
      </c>
      <c r="C511" t="s">
        <v>607</v>
      </c>
      <c r="D511" t="s">
        <v>617</v>
      </c>
      <c r="E511" t="s">
        <v>629</v>
      </c>
      <c r="F511" t="s">
        <v>1123</v>
      </c>
      <c r="G511" t="s">
        <v>1766</v>
      </c>
      <c r="H511" t="s">
        <v>1769</v>
      </c>
      <c r="I511" t="s">
        <v>1775</v>
      </c>
      <c r="J511" t="s">
        <v>1779</v>
      </c>
      <c r="K511">
        <v>6</v>
      </c>
      <c r="L511" s="2">
        <v>364</v>
      </c>
      <c r="M511">
        <v>0.05</v>
      </c>
      <c r="N511" s="2">
        <v>267.45999999999998</v>
      </c>
      <c r="O511" s="2">
        <v>2074.8000000000002</v>
      </c>
      <c r="P511" s="2">
        <v>1604.76</v>
      </c>
      <c r="Q511" s="2">
        <v>470.04</v>
      </c>
      <c r="R511">
        <v>1</v>
      </c>
      <c r="S511" s="2" t="str">
        <f>TEXT(data[[#This Row],[Date]],"mmm yyyy")</f>
        <v>Dec 2024</v>
      </c>
      <c r="T511" s="8">
        <f>data[[#This Row],[Profit]]/data[[#This Row],[Revenue]]</f>
        <v>0.22654713707345286</v>
      </c>
    </row>
    <row r="512" spans="1:20" x14ac:dyDescent="0.3">
      <c r="A512">
        <v>10510</v>
      </c>
      <c r="B512" t="s">
        <v>382</v>
      </c>
      <c r="C512" t="s">
        <v>609</v>
      </c>
      <c r="D512" t="s">
        <v>619</v>
      </c>
      <c r="E512" t="s">
        <v>629</v>
      </c>
      <c r="F512" t="s">
        <v>1124</v>
      </c>
      <c r="G512" t="s">
        <v>1759</v>
      </c>
      <c r="H512" t="s">
        <v>1769</v>
      </c>
      <c r="I512" t="s">
        <v>1773</v>
      </c>
      <c r="J512" t="s">
        <v>1779</v>
      </c>
      <c r="K512">
        <v>7</v>
      </c>
      <c r="L512" s="2">
        <v>411</v>
      </c>
      <c r="M512">
        <v>0</v>
      </c>
      <c r="N512" s="2">
        <v>289.06</v>
      </c>
      <c r="O512" s="2">
        <v>2877</v>
      </c>
      <c r="P512" s="2">
        <v>2023.42</v>
      </c>
      <c r="Q512" s="2">
        <v>853.58</v>
      </c>
      <c r="R512">
        <v>0</v>
      </c>
      <c r="S512" s="2" t="str">
        <f>TEXT(data[[#This Row],[Date]],"mmm yyyy")</f>
        <v>Dec 2024</v>
      </c>
      <c r="T512" s="8">
        <f>data[[#This Row],[Profit]]/data[[#This Row],[Revenue]]</f>
        <v>0.29669099756690998</v>
      </c>
    </row>
    <row r="513" spans="1:20" x14ac:dyDescent="0.3">
      <c r="A513">
        <v>10511</v>
      </c>
      <c r="B513" t="s">
        <v>38</v>
      </c>
      <c r="C513" t="s">
        <v>606</v>
      </c>
      <c r="D513" t="s">
        <v>616</v>
      </c>
      <c r="E513" t="s">
        <v>627</v>
      </c>
      <c r="F513" t="s">
        <v>1125</v>
      </c>
      <c r="G513" t="s">
        <v>1763</v>
      </c>
      <c r="H513" t="s">
        <v>1769</v>
      </c>
      <c r="I513" t="s">
        <v>1773</v>
      </c>
      <c r="J513" t="s">
        <v>1778</v>
      </c>
      <c r="K513">
        <v>18</v>
      </c>
      <c r="L513" s="2">
        <v>359</v>
      </c>
      <c r="M513">
        <v>0</v>
      </c>
      <c r="N513" s="2">
        <v>183.32</v>
      </c>
      <c r="O513" s="2">
        <v>6462</v>
      </c>
      <c r="P513" s="2">
        <v>3299.76</v>
      </c>
      <c r="Q513" s="2">
        <v>3162.24</v>
      </c>
      <c r="R513">
        <v>0</v>
      </c>
      <c r="S513" s="2" t="str">
        <f>TEXT(data[[#This Row],[Date]],"mmm yyyy")</f>
        <v>Jun 2024</v>
      </c>
      <c r="T513" s="8">
        <f>data[[#This Row],[Profit]]/data[[#This Row],[Revenue]]</f>
        <v>0.4893593314763231</v>
      </c>
    </row>
    <row r="514" spans="1:20" x14ac:dyDescent="0.3">
      <c r="A514">
        <v>10512</v>
      </c>
      <c r="B514" t="s">
        <v>383</v>
      </c>
      <c r="C514" t="s">
        <v>606</v>
      </c>
      <c r="D514" t="s">
        <v>620</v>
      </c>
      <c r="E514" t="s">
        <v>628</v>
      </c>
      <c r="F514" t="s">
        <v>1126</v>
      </c>
      <c r="G514" t="s">
        <v>1760</v>
      </c>
      <c r="H514" t="s">
        <v>1771</v>
      </c>
      <c r="I514" t="s">
        <v>1774</v>
      </c>
      <c r="J514" t="s">
        <v>1779</v>
      </c>
      <c r="K514">
        <v>11</v>
      </c>
      <c r="L514" s="2">
        <v>583</v>
      </c>
      <c r="M514">
        <v>0.15</v>
      </c>
      <c r="N514" s="2">
        <v>324.2</v>
      </c>
      <c r="O514" s="2">
        <v>5451.05</v>
      </c>
      <c r="P514" s="2">
        <v>3566.2</v>
      </c>
      <c r="Q514" s="2">
        <v>1884.85</v>
      </c>
      <c r="R514">
        <v>0</v>
      </c>
      <c r="S514" s="2" t="str">
        <f>TEXT(data[[#This Row],[Date]],"mmm yyyy")</f>
        <v>Mar 2024</v>
      </c>
      <c r="T514" s="8">
        <f>data[[#This Row],[Profit]]/data[[#This Row],[Revenue]]</f>
        <v>0.34577741902936127</v>
      </c>
    </row>
    <row r="515" spans="1:20" x14ac:dyDescent="0.3">
      <c r="A515">
        <v>10513</v>
      </c>
      <c r="B515" t="s">
        <v>46</v>
      </c>
      <c r="C515" t="s">
        <v>606</v>
      </c>
      <c r="D515" t="s">
        <v>625</v>
      </c>
      <c r="E515" t="s">
        <v>629</v>
      </c>
      <c r="F515" t="s">
        <v>1127</v>
      </c>
      <c r="G515" t="s">
        <v>1763</v>
      </c>
      <c r="H515" t="s">
        <v>1767</v>
      </c>
      <c r="I515" t="s">
        <v>1774</v>
      </c>
      <c r="J515" t="s">
        <v>1776</v>
      </c>
      <c r="K515">
        <v>9</v>
      </c>
      <c r="L515" s="2">
        <v>139</v>
      </c>
      <c r="M515">
        <v>0.05</v>
      </c>
      <c r="N515" s="2">
        <v>85.75</v>
      </c>
      <c r="O515" s="2">
        <v>1188.45</v>
      </c>
      <c r="P515" s="2">
        <v>771.75</v>
      </c>
      <c r="Q515" s="2">
        <v>416.7</v>
      </c>
      <c r="R515">
        <v>0</v>
      </c>
      <c r="S515" s="2" t="str">
        <f>TEXT(data[[#This Row],[Date]],"mmm yyyy")</f>
        <v>Apr 2025</v>
      </c>
      <c r="T515" s="8">
        <f>data[[#This Row],[Profit]]/data[[#This Row],[Revenue]]</f>
        <v>0.35062476334721693</v>
      </c>
    </row>
    <row r="516" spans="1:20" x14ac:dyDescent="0.3">
      <c r="A516">
        <v>10514</v>
      </c>
      <c r="B516" t="s">
        <v>384</v>
      </c>
      <c r="C516" t="s">
        <v>608</v>
      </c>
      <c r="D516" t="s">
        <v>612</v>
      </c>
      <c r="E516" t="s">
        <v>629</v>
      </c>
      <c r="F516" t="s">
        <v>1128</v>
      </c>
      <c r="G516" t="s">
        <v>1759</v>
      </c>
      <c r="H516" t="s">
        <v>1772</v>
      </c>
      <c r="I516" t="s">
        <v>1774</v>
      </c>
      <c r="J516" t="s">
        <v>1778</v>
      </c>
      <c r="K516">
        <v>9</v>
      </c>
      <c r="L516" s="2">
        <v>1188</v>
      </c>
      <c r="M516">
        <v>0.2</v>
      </c>
      <c r="N516" s="2">
        <v>664.14</v>
      </c>
      <c r="O516" s="2">
        <v>8553.6</v>
      </c>
      <c r="P516" s="2">
        <v>5977.26</v>
      </c>
      <c r="Q516" s="2">
        <v>2576.34</v>
      </c>
      <c r="R516">
        <v>0</v>
      </c>
      <c r="S516" s="2" t="str">
        <f>TEXT(data[[#This Row],[Date]],"mmm yyyy")</f>
        <v>Jul 2025</v>
      </c>
      <c r="T516" s="8">
        <f>data[[#This Row],[Profit]]/data[[#This Row],[Revenue]]</f>
        <v>0.30119949494949494</v>
      </c>
    </row>
    <row r="517" spans="1:20" x14ac:dyDescent="0.3">
      <c r="A517">
        <v>10515</v>
      </c>
      <c r="B517" t="s">
        <v>385</v>
      </c>
      <c r="C517" t="s">
        <v>609</v>
      </c>
      <c r="D517" t="s">
        <v>622</v>
      </c>
      <c r="E517" t="s">
        <v>627</v>
      </c>
      <c r="F517" t="s">
        <v>1129</v>
      </c>
      <c r="G517" t="s">
        <v>1759</v>
      </c>
      <c r="H517" t="s">
        <v>1767</v>
      </c>
      <c r="I517" t="s">
        <v>1774</v>
      </c>
      <c r="J517" t="s">
        <v>1778</v>
      </c>
      <c r="K517">
        <v>14</v>
      </c>
      <c r="L517" s="2">
        <v>256</v>
      </c>
      <c r="M517">
        <v>0.1</v>
      </c>
      <c r="N517" s="2">
        <v>147.30000000000001</v>
      </c>
      <c r="O517" s="2">
        <v>3225.6</v>
      </c>
      <c r="P517" s="2">
        <v>2062.1999999999998</v>
      </c>
      <c r="Q517" s="2">
        <v>1163.4000000000001</v>
      </c>
      <c r="R517">
        <v>0</v>
      </c>
      <c r="S517" s="2" t="str">
        <f>TEXT(data[[#This Row],[Date]],"mmm yyyy")</f>
        <v>Aug 2025</v>
      </c>
      <c r="T517" s="8">
        <f>data[[#This Row],[Profit]]/data[[#This Row],[Revenue]]</f>
        <v>0.36067708333333337</v>
      </c>
    </row>
    <row r="518" spans="1:20" x14ac:dyDescent="0.3">
      <c r="A518">
        <v>10516</v>
      </c>
      <c r="B518" t="s">
        <v>319</v>
      </c>
      <c r="C518" t="s">
        <v>607</v>
      </c>
      <c r="D518" t="s">
        <v>617</v>
      </c>
      <c r="E518" t="s">
        <v>628</v>
      </c>
      <c r="F518" t="s">
        <v>1130</v>
      </c>
      <c r="G518" t="s">
        <v>1764</v>
      </c>
      <c r="H518" t="s">
        <v>1770</v>
      </c>
      <c r="I518" t="s">
        <v>1773</v>
      </c>
      <c r="J518" t="s">
        <v>1779</v>
      </c>
      <c r="K518">
        <v>3</v>
      </c>
      <c r="L518" s="2">
        <v>787</v>
      </c>
      <c r="M518">
        <v>0</v>
      </c>
      <c r="N518" s="2">
        <v>506.69</v>
      </c>
      <c r="O518" s="2">
        <v>2361</v>
      </c>
      <c r="P518" s="2">
        <v>1520.07</v>
      </c>
      <c r="Q518" s="2">
        <v>840.93</v>
      </c>
      <c r="R518">
        <v>0</v>
      </c>
      <c r="S518" s="2" t="str">
        <f>TEXT(data[[#This Row],[Date]],"mmm yyyy")</f>
        <v>Aug 2025</v>
      </c>
      <c r="T518" s="8">
        <f>data[[#This Row],[Profit]]/data[[#This Row],[Revenue]]</f>
        <v>0.35617534942820839</v>
      </c>
    </row>
    <row r="519" spans="1:20" x14ac:dyDescent="0.3">
      <c r="A519">
        <v>10517</v>
      </c>
      <c r="B519" t="s">
        <v>229</v>
      </c>
      <c r="C519" t="s">
        <v>608</v>
      </c>
      <c r="D519" t="s">
        <v>615</v>
      </c>
      <c r="E519" t="s">
        <v>629</v>
      </c>
      <c r="F519" t="s">
        <v>1131</v>
      </c>
      <c r="G519" t="s">
        <v>1765</v>
      </c>
      <c r="H519" t="s">
        <v>1768</v>
      </c>
      <c r="I519" t="s">
        <v>1774</v>
      </c>
      <c r="J519" t="s">
        <v>1779</v>
      </c>
      <c r="K519">
        <v>7</v>
      </c>
      <c r="L519" s="2">
        <v>1280</v>
      </c>
      <c r="M519">
        <v>0.1</v>
      </c>
      <c r="N519" s="2">
        <v>790.98</v>
      </c>
      <c r="O519" s="2">
        <v>8064</v>
      </c>
      <c r="P519" s="2">
        <v>5536.86</v>
      </c>
      <c r="Q519" s="2">
        <v>2527.14</v>
      </c>
      <c r="R519">
        <v>0</v>
      </c>
      <c r="S519" s="2" t="str">
        <f>TEXT(data[[#This Row],[Date]],"mmm yyyy")</f>
        <v>Dec 2025</v>
      </c>
      <c r="T519" s="8">
        <f>data[[#This Row],[Profit]]/data[[#This Row],[Revenue]]</f>
        <v>0.31338541666666664</v>
      </c>
    </row>
    <row r="520" spans="1:20" x14ac:dyDescent="0.3">
      <c r="A520">
        <v>10518</v>
      </c>
      <c r="B520" t="s">
        <v>302</v>
      </c>
      <c r="C520" t="s">
        <v>608</v>
      </c>
      <c r="D520" t="s">
        <v>612</v>
      </c>
      <c r="E520" t="s">
        <v>628</v>
      </c>
      <c r="F520" t="s">
        <v>1132</v>
      </c>
      <c r="G520" t="s">
        <v>1760</v>
      </c>
      <c r="H520" t="s">
        <v>1769</v>
      </c>
      <c r="I520" t="s">
        <v>1773</v>
      </c>
      <c r="J520" t="s">
        <v>1778</v>
      </c>
      <c r="K520">
        <v>20</v>
      </c>
      <c r="L520" s="2">
        <v>401</v>
      </c>
      <c r="M520">
        <v>0.05</v>
      </c>
      <c r="N520" s="2">
        <v>273.56</v>
      </c>
      <c r="O520" s="2">
        <v>7619</v>
      </c>
      <c r="P520" s="2">
        <v>5471.2</v>
      </c>
      <c r="Q520" s="2">
        <v>2147.8000000000002</v>
      </c>
      <c r="R520">
        <v>0</v>
      </c>
      <c r="S520" s="2" t="str">
        <f>TEXT(data[[#This Row],[Date]],"mmm yyyy")</f>
        <v>Nov 2024</v>
      </c>
      <c r="T520" s="8">
        <f>data[[#This Row],[Profit]]/data[[#This Row],[Revenue]]</f>
        <v>0.28190051187819926</v>
      </c>
    </row>
    <row r="521" spans="1:20" x14ac:dyDescent="0.3">
      <c r="A521">
        <v>10519</v>
      </c>
      <c r="B521" t="s">
        <v>386</v>
      </c>
      <c r="C521" t="s">
        <v>606</v>
      </c>
      <c r="D521" t="s">
        <v>610</v>
      </c>
      <c r="E521" t="s">
        <v>627</v>
      </c>
      <c r="F521" t="s">
        <v>1133</v>
      </c>
      <c r="G521" t="s">
        <v>1762</v>
      </c>
      <c r="H521" t="s">
        <v>1769</v>
      </c>
      <c r="I521" t="s">
        <v>1775</v>
      </c>
      <c r="J521" t="s">
        <v>1779</v>
      </c>
      <c r="K521">
        <v>6</v>
      </c>
      <c r="L521" s="2">
        <v>225</v>
      </c>
      <c r="M521">
        <v>0.15</v>
      </c>
      <c r="N521" s="2">
        <v>153.66</v>
      </c>
      <c r="O521" s="2">
        <v>1147.5</v>
      </c>
      <c r="P521" s="2">
        <v>921.96</v>
      </c>
      <c r="Q521" s="2">
        <v>225.54</v>
      </c>
      <c r="R521">
        <v>0</v>
      </c>
      <c r="S521" s="2" t="str">
        <f>TEXT(data[[#This Row],[Date]],"mmm yyyy")</f>
        <v>Jan 2025</v>
      </c>
      <c r="T521" s="8">
        <f>data[[#This Row],[Profit]]/data[[#This Row],[Revenue]]</f>
        <v>0.19654901960784313</v>
      </c>
    </row>
    <row r="522" spans="1:20" x14ac:dyDescent="0.3">
      <c r="A522">
        <v>10520</v>
      </c>
      <c r="B522" t="s">
        <v>297</v>
      </c>
      <c r="C522" t="s">
        <v>606</v>
      </c>
      <c r="D522" t="s">
        <v>616</v>
      </c>
      <c r="E522" t="s">
        <v>629</v>
      </c>
      <c r="F522" t="s">
        <v>1134</v>
      </c>
      <c r="G522" t="s">
        <v>1766</v>
      </c>
      <c r="H522" t="s">
        <v>1772</v>
      </c>
      <c r="I522" t="s">
        <v>1773</v>
      </c>
      <c r="J522" t="s">
        <v>1779</v>
      </c>
      <c r="K522">
        <v>18</v>
      </c>
      <c r="L522" s="2">
        <v>1194</v>
      </c>
      <c r="M522">
        <v>0.1</v>
      </c>
      <c r="N522" s="2">
        <v>673.09</v>
      </c>
      <c r="O522" s="2">
        <v>19342.8</v>
      </c>
      <c r="P522" s="2">
        <v>12115.62</v>
      </c>
      <c r="Q522" s="2">
        <v>7227.18</v>
      </c>
      <c r="R522">
        <v>0</v>
      </c>
      <c r="S522" s="2" t="str">
        <f>TEXT(data[[#This Row],[Date]],"mmm yyyy")</f>
        <v>Aug 2024</v>
      </c>
      <c r="T522" s="8">
        <f>data[[#This Row],[Profit]]/data[[#This Row],[Revenue]]</f>
        <v>0.37363670202866184</v>
      </c>
    </row>
    <row r="523" spans="1:20" x14ac:dyDescent="0.3">
      <c r="A523">
        <v>10521</v>
      </c>
      <c r="B523" t="s">
        <v>387</v>
      </c>
      <c r="C523" t="s">
        <v>606</v>
      </c>
      <c r="D523" t="s">
        <v>625</v>
      </c>
      <c r="E523" t="s">
        <v>627</v>
      </c>
      <c r="F523" t="s">
        <v>957</v>
      </c>
      <c r="G523" t="s">
        <v>1761</v>
      </c>
      <c r="H523" t="s">
        <v>1768</v>
      </c>
      <c r="I523" t="s">
        <v>1774</v>
      </c>
      <c r="J523" t="s">
        <v>1778</v>
      </c>
      <c r="K523">
        <v>10</v>
      </c>
      <c r="L523" s="2">
        <v>1116</v>
      </c>
      <c r="M523">
        <v>0</v>
      </c>
      <c r="N523" s="2">
        <v>701.09</v>
      </c>
      <c r="O523" s="2">
        <v>11160</v>
      </c>
      <c r="P523" s="2">
        <v>7010.9</v>
      </c>
      <c r="Q523" s="2">
        <v>4149.1000000000004</v>
      </c>
      <c r="R523">
        <v>0</v>
      </c>
      <c r="S523" s="2" t="str">
        <f>TEXT(data[[#This Row],[Date]],"mmm yyyy")</f>
        <v>May 2024</v>
      </c>
      <c r="T523" s="8">
        <f>data[[#This Row],[Profit]]/data[[#This Row],[Revenue]]</f>
        <v>0.37178315412186386</v>
      </c>
    </row>
    <row r="524" spans="1:20" x14ac:dyDescent="0.3">
      <c r="A524">
        <v>10522</v>
      </c>
      <c r="B524" t="s">
        <v>388</v>
      </c>
      <c r="C524" t="s">
        <v>606</v>
      </c>
      <c r="D524" t="s">
        <v>620</v>
      </c>
      <c r="E524" t="s">
        <v>629</v>
      </c>
      <c r="F524" t="s">
        <v>1135</v>
      </c>
      <c r="G524" t="s">
        <v>1760</v>
      </c>
      <c r="H524" t="s">
        <v>1769</v>
      </c>
      <c r="I524" t="s">
        <v>1775</v>
      </c>
      <c r="J524" t="s">
        <v>1779</v>
      </c>
      <c r="K524">
        <v>14</v>
      </c>
      <c r="L524" s="2">
        <v>242</v>
      </c>
      <c r="M524">
        <v>0.1</v>
      </c>
      <c r="N524" s="2">
        <v>126.25</v>
      </c>
      <c r="O524" s="2">
        <v>3049.2</v>
      </c>
      <c r="P524" s="2">
        <v>1767.5</v>
      </c>
      <c r="Q524" s="2">
        <v>1281.7</v>
      </c>
      <c r="R524">
        <v>1</v>
      </c>
      <c r="S524" s="2" t="str">
        <f>TEXT(data[[#This Row],[Date]],"mmm yyyy")</f>
        <v>May 2025</v>
      </c>
      <c r="T524" s="8">
        <f>data[[#This Row],[Profit]]/data[[#This Row],[Revenue]]</f>
        <v>0.4203397612488522</v>
      </c>
    </row>
    <row r="525" spans="1:20" x14ac:dyDescent="0.3">
      <c r="A525">
        <v>10523</v>
      </c>
      <c r="B525" t="s">
        <v>389</v>
      </c>
      <c r="C525" t="s">
        <v>606</v>
      </c>
      <c r="D525" t="s">
        <v>610</v>
      </c>
      <c r="E525" t="s">
        <v>626</v>
      </c>
      <c r="F525" t="s">
        <v>1136</v>
      </c>
      <c r="G525" t="s">
        <v>1759</v>
      </c>
      <c r="H525" t="s">
        <v>1767</v>
      </c>
      <c r="I525" t="s">
        <v>1773</v>
      </c>
      <c r="J525" t="s">
        <v>1776</v>
      </c>
      <c r="K525">
        <v>11</v>
      </c>
      <c r="L525" s="2">
        <v>207</v>
      </c>
      <c r="M525">
        <v>0.05</v>
      </c>
      <c r="N525" s="2">
        <v>116.14</v>
      </c>
      <c r="O525" s="2">
        <v>2163.15</v>
      </c>
      <c r="P525" s="2">
        <v>1277.54</v>
      </c>
      <c r="Q525" s="2">
        <v>885.61</v>
      </c>
      <c r="R525">
        <v>0</v>
      </c>
      <c r="S525" s="2" t="str">
        <f>TEXT(data[[#This Row],[Date]],"mmm yyyy")</f>
        <v>Sep 2025</v>
      </c>
      <c r="T525" s="8">
        <f>data[[#This Row],[Profit]]/data[[#This Row],[Revenue]]</f>
        <v>0.40940757691329771</v>
      </c>
    </row>
    <row r="526" spans="1:20" x14ac:dyDescent="0.3">
      <c r="A526">
        <v>10524</v>
      </c>
      <c r="B526" t="s">
        <v>390</v>
      </c>
      <c r="C526" t="s">
        <v>608</v>
      </c>
      <c r="D526" t="s">
        <v>618</v>
      </c>
      <c r="E526" t="s">
        <v>626</v>
      </c>
      <c r="F526" t="s">
        <v>1137</v>
      </c>
      <c r="G526" t="s">
        <v>1759</v>
      </c>
      <c r="H526" t="s">
        <v>1771</v>
      </c>
      <c r="I526" t="s">
        <v>1775</v>
      </c>
      <c r="J526" t="s">
        <v>1779</v>
      </c>
      <c r="K526">
        <v>16</v>
      </c>
      <c r="L526" s="2">
        <v>574</v>
      </c>
      <c r="M526">
        <v>0.1</v>
      </c>
      <c r="N526" s="2">
        <v>410.54</v>
      </c>
      <c r="O526" s="2">
        <v>8265.6</v>
      </c>
      <c r="P526" s="2">
        <v>6568.64</v>
      </c>
      <c r="Q526" s="2">
        <v>1696.96</v>
      </c>
      <c r="R526">
        <v>0</v>
      </c>
      <c r="S526" s="2" t="str">
        <f>TEXT(data[[#This Row],[Date]],"mmm yyyy")</f>
        <v>Nov 2025</v>
      </c>
      <c r="T526" s="8">
        <f>data[[#This Row],[Profit]]/data[[#This Row],[Revenue]]</f>
        <v>0.20530391018195895</v>
      </c>
    </row>
    <row r="527" spans="1:20" x14ac:dyDescent="0.3">
      <c r="A527">
        <v>10525</v>
      </c>
      <c r="B527" t="s">
        <v>391</v>
      </c>
      <c r="C527" t="s">
        <v>608</v>
      </c>
      <c r="D527" t="s">
        <v>614</v>
      </c>
      <c r="E527" t="s">
        <v>627</v>
      </c>
      <c r="F527" t="s">
        <v>1138</v>
      </c>
      <c r="G527" t="s">
        <v>1765</v>
      </c>
      <c r="H527" t="s">
        <v>1770</v>
      </c>
      <c r="I527" t="s">
        <v>1774</v>
      </c>
      <c r="J527" t="s">
        <v>1776</v>
      </c>
      <c r="K527">
        <v>2</v>
      </c>
      <c r="L527" s="2">
        <v>751</v>
      </c>
      <c r="M527">
        <v>0</v>
      </c>
      <c r="N527" s="2">
        <v>426.97</v>
      </c>
      <c r="O527" s="2">
        <v>1502</v>
      </c>
      <c r="P527" s="2">
        <v>853.94</v>
      </c>
      <c r="Q527" s="2">
        <v>648.05999999999995</v>
      </c>
      <c r="R527">
        <v>0</v>
      </c>
      <c r="S527" s="2" t="str">
        <f>TEXT(data[[#This Row],[Date]],"mmm yyyy")</f>
        <v>May 2025</v>
      </c>
      <c r="T527" s="8">
        <f>data[[#This Row],[Profit]]/data[[#This Row],[Revenue]]</f>
        <v>0.43146471371504658</v>
      </c>
    </row>
    <row r="528" spans="1:20" x14ac:dyDescent="0.3">
      <c r="A528">
        <v>10526</v>
      </c>
      <c r="B528" t="s">
        <v>383</v>
      </c>
      <c r="C528" t="s">
        <v>608</v>
      </c>
      <c r="D528" t="s">
        <v>615</v>
      </c>
      <c r="E528" t="s">
        <v>628</v>
      </c>
      <c r="F528" t="s">
        <v>1139</v>
      </c>
      <c r="G528" t="s">
        <v>1763</v>
      </c>
      <c r="H528" t="s">
        <v>1771</v>
      </c>
      <c r="I528" t="s">
        <v>1773</v>
      </c>
      <c r="J528" t="s">
        <v>1778</v>
      </c>
      <c r="K528">
        <v>7</v>
      </c>
      <c r="L528" s="2">
        <v>455</v>
      </c>
      <c r="M528">
        <v>0.2</v>
      </c>
      <c r="N528" s="2">
        <v>314.51</v>
      </c>
      <c r="O528" s="2">
        <v>2548</v>
      </c>
      <c r="P528" s="2">
        <v>2201.5700000000002</v>
      </c>
      <c r="Q528" s="2">
        <v>346.43</v>
      </c>
      <c r="R528">
        <v>1</v>
      </c>
      <c r="S528" s="2" t="str">
        <f>TEXT(data[[#This Row],[Date]],"mmm yyyy")</f>
        <v>Mar 2024</v>
      </c>
      <c r="T528" s="8">
        <f>data[[#This Row],[Profit]]/data[[#This Row],[Revenue]]</f>
        <v>0.13596153846153847</v>
      </c>
    </row>
    <row r="529" spans="1:20" x14ac:dyDescent="0.3">
      <c r="A529">
        <v>10527</v>
      </c>
      <c r="B529" t="s">
        <v>392</v>
      </c>
      <c r="C529" t="s">
        <v>609</v>
      </c>
      <c r="D529" t="s">
        <v>619</v>
      </c>
      <c r="E529" t="s">
        <v>628</v>
      </c>
      <c r="F529" t="s">
        <v>1140</v>
      </c>
      <c r="G529" t="s">
        <v>1761</v>
      </c>
      <c r="H529" t="s">
        <v>1767</v>
      </c>
      <c r="I529" t="s">
        <v>1775</v>
      </c>
      <c r="J529" t="s">
        <v>1777</v>
      </c>
      <c r="K529">
        <v>7</v>
      </c>
      <c r="L529" s="2">
        <v>131</v>
      </c>
      <c r="M529">
        <v>0.2</v>
      </c>
      <c r="N529" s="2">
        <v>81.96</v>
      </c>
      <c r="O529" s="2">
        <v>733.6</v>
      </c>
      <c r="P529" s="2">
        <v>573.72</v>
      </c>
      <c r="Q529" s="2">
        <v>159.88</v>
      </c>
      <c r="R529">
        <v>0</v>
      </c>
      <c r="S529" s="2" t="str">
        <f>TEXT(data[[#This Row],[Date]],"mmm yyyy")</f>
        <v>Dec 2025</v>
      </c>
      <c r="T529" s="8">
        <f>data[[#This Row],[Profit]]/data[[#This Row],[Revenue]]</f>
        <v>0.21793893129770991</v>
      </c>
    </row>
    <row r="530" spans="1:20" x14ac:dyDescent="0.3">
      <c r="A530">
        <v>10528</v>
      </c>
      <c r="B530" t="s">
        <v>393</v>
      </c>
      <c r="C530" t="s">
        <v>609</v>
      </c>
      <c r="D530" t="s">
        <v>613</v>
      </c>
      <c r="E530" t="s">
        <v>626</v>
      </c>
      <c r="F530" t="s">
        <v>1141</v>
      </c>
      <c r="G530" t="s">
        <v>1763</v>
      </c>
      <c r="H530" t="s">
        <v>1769</v>
      </c>
      <c r="I530" t="s">
        <v>1775</v>
      </c>
      <c r="J530" t="s">
        <v>1779</v>
      </c>
      <c r="K530">
        <v>11</v>
      </c>
      <c r="L530" s="2">
        <v>478</v>
      </c>
      <c r="M530">
        <v>0.1</v>
      </c>
      <c r="N530" s="2">
        <v>320.82</v>
      </c>
      <c r="O530" s="2">
        <v>4732.2</v>
      </c>
      <c r="P530" s="2">
        <v>3529.02</v>
      </c>
      <c r="Q530" s="2">
        <v>1203.18</v>
      </c>
      <c r="R530">
        <v>1</v>
      </c>
      <c r="S530" s="2" t="str">
        <f>TEXT(data[[#This Row],[Date]],"mmm yyyy")</f>
        <v>Apr 2024</v>
      </c>
      <c r="T530" s="8">
        <f>data[[#This Row],[Profit]]/data[[#This Row],[Revenue]]</f>
        <v>0.25425383542538355</v>
      </c>
    </row>
    <row r="531" spans="1:20" x14ac:dyDescent="0.3">
      <c r="A531">
        <v>10529</v>
      </c>
      <c r="B531" t="s">
        <v>335</v>
      </c>
      <c r="C531" t="s">
        <v>606</v>
      </c>
      <c r="D531" t="s">
        <v>625</v>
      </c>
      <c r="E531" t="s">
        <v>629</v>
      </c>
      <c r="F531" t="s">
        <v>1142</v>
      </c>
      <c r="G531" t="s">
        <v>1759</v>
      </c>
      <c r="H531" t="s">
        <v>1772</v>
      </c>
      <c r="I531" t="s">
        <v>1774</v>
      </c>
      <c r="J531" t="s">
        <v>1776</v>
      </c>
      <c r="K531">
        <v>1</v>
      </c>
      <c r="L531" s="2">
        <v>1058</v>
      </c>
      <c r="M531">
        <v>0.05</v>
      </c>
      <c r="N531" s="2">
        <v>658.41</v>
      </c>
      <c r="O531" s="2">
        <v>1005.1</v>
      </c>
      <c r="P531" s="2">
        <v>658.41</v>
      </c>
      <c r="Q531" s="2">
        <v>346.69</v>
      </c>
      <c r="R531">
        <v>0</v>
      </c>
      <c r="S531" s="2" t="str">
        <f>TEXT(data[[#This Row],[Date]],"mmm yyyy")</f>
        <v>Jul 2024</v>
      </c>
      <c r="T531" s="8">
        <f>data[[#This Row],[Profit]]/data[[#This Row],[Revenue]]</f>
        <v>0.34493085265147744</v>
      </c>
    </row>
    <row r="532" spans="1:20" x14ac:dyDescent="0.3">
      <c r="A532">
        <v>10530</v>
      </c>
      <c r="B532" t="s">
        <v>300</v>
      </c>
      <c r="C532" t="s">
        <v>609</v>
      </c>
      <c r="D532" t="s">
        <v>622</v>
      </c>
      <c r="E532" t="s">
        <v>629</v>
      </c>
      <c r="F532" t="s">
        <v>1143</v>
      </c>
      <c r="G532" t="s">
        <v>1760</v>
      </c>
      <c r="H532" t="s">
        <v>1769</v>
      </c>
      <c r="I532" t="s">
        <v>1775</v>
      </c>
      <c r="J532" t="s">
        <v>1778</v>
      </c>
      <c r="K532">
        <v>1</v>
      </c>
      <c r="L532" s="2">
        <v>214</v>
      </c>
      <c r="M532">
        <v>0.2</v>
      </c>
      <c r="N532" s="2">
        <v>156.43</v>
      </c>
      <c r="O532" s="2">
        <v>171.2</v>
      </c>
      <c r="P532" s="2">
        <v>156.43</v>
      </c>
      <c r="Q532" s="2">
        <v>14.77</v>
      </c>
      <c r="R532">
        <v>1</v>
      </c>
      <c r="S532" s="2" t="str">
        <f>TEXT(data[[#This Row],[Date]],"mmm yyyy")</f>
        <v>Sep 2025</v>
      </c>
      <c r="T532" s="8">
        <f>data[[#This Row],[Profit]]/data[[#This Row],[Revenue]]</f>
        <v>8.6273364485981316E-2</v>
      </c>
    </row>
    <row r="533" spans="1:20" x14ac:dyDescent="0.3">
      <c r="A533">
        <v>10531</v>
      </c>
      <c r="B533" t="s">
        <v>394</v>
      </c>
      <c r="C533" t="s">
        <v>609</v>
      </c>
      <c r="D533" t="s">
        <v>623</v>
      </c>
      <c r="E533" t="s">
        <v>629</v>
      </c>
      <c r="F533" t="s">
        <v>1144</v>
      </c>
      <c r="G533" t="s">
        <v>1764</v>
      </c>
      <c r="H533" t="s">
        <v>1771</v>
      </c>
      <c r="I533" t="s">
        <v>1775</v>
      </c>
      <c r="J533" t="s">
        <v>1778</v>
      </c>
      <c r="K533">
        <v>7</v>
      </c>
      <c r="L533" s="2">
        <v>536</v>
      </c>
      <c r="M533">
        <v>0.05</v>
      </c>
      <c r="N533" s="2">
        <v>300.58</v>
      </c>
      <c r="O533" s="2">
        <v>3564.4</v>
      </c>
      <c r="P533" s="2">
        <v>2104.06</v>
      </c>
      <c r="Q533" s="2">
        <v>1460.34</v>
      </c>
      <c r="R533">
        <v>0</v>
      </c>
      <c r="S533" s="2" t="str">
        <f>TEXT(data[[#This Row],[Date]],"mmm yyyy")</f>
        <v>Oct 2025</v>
      </c>
      <c r="T533" s="8">
        <f>data[[#This Row],[Profit]]/data[[#This Row],[Revenue]]</f>
        <v>0.40970149253731342</v>
      </c>
    </row>
    <row r="534" spans="1:20" x14ac:dyDescent="0.3">
      <c r="A534">
        <v>10532</v>
      </c>
      <c r="B534" t="s">
        <v>388</v>
      </c>
      <c r="C534" t="s">
        <v>609</v>
      </c>
      <c r="D534" t="s">
        <v>619</v>
      </c>
      <c r="E534" t="s">
        <v>626</v>
      </c>
      <c r="F534" t="s">
        <v>1145</v>
      </c>
      <c r="G534" t="s">
        <v>1765</v>
      </c>
      <c r="H534" t="s">
        <v>1767</v>
      </c>
      <c r="I534" t="s">
        <v>1775</v>
      </c>
      <c r="J534" t="s">
        <v>1779</v>
      </c>
      <c r="K534">
        <v>2</v>
      </c>
      <c r="L534" s="2">
        <v>258</v>
      </c>
      <c r="M534">
        <v>0.2</v>
      </c>
      <c r="N534" s="2">
        <v>193.35</v>
      </c>
      <c r="O534" s="2">
        <v>412.8</v>
      </c>
      <c r="P534" s="2">
        <v>386.7</v>
      </c>
      <c r="Q534" s="2">
        <v>26.1</v>
      </c>
      <c r="R534">
        <v>0</v>
      </c>
      <c r="S534" s="2" t="str">
        <f>TEXT(data[[#This Row],[Date]],"mmm yyyy")</f>
        <v>May 2025</v>
      </c>
      <c r="T534" s="8">
        <f>data[[#This Row],[Profit]]/data[[#This Row],[Revenue]]</f>
        <v>6.3226744186046513E-2</v>
      </c>
    </row>
    <row r="535" spans="1:20" x14ac:dyDescent="0.3">
      <c r="A535">
        <v>10533</v>
      </c>
      <c r="B535" t="s">
        <v>395</v>
      </c>
      <c r="C535" t="s">
        <v>608</v>
      </c>
      <c r="D535" t="s">
        <v>618</v>
      </c>
      <c r="E535" t="s">
        <v>629</v>
      </c>
      <c r="F535" t="s">
        <v>1146</v>
      </c>
      <c r="G535" t="s">
        <v>1759</v>
      </c>
      <c r="H535" t="s">
        <v>1769</v>
      </c>
      <c r="I535" t="s">
        <v>1773</v>
      </c>
      <c r="J535" t="s">
        <v>1779</v>
      </c>
      <c r="K535">
        <v>5</v>
      </c>
      <c r="L535" s="2">
        <v>356</v>
      </c>
      <c r="M535">
        <v>0.2</v>
      </c>
      <c r="N535" s="2">
        <v>255.97</v>
      </c>
      <c r="O535" s="2">
        <v>1424</v>
      </c>
      <c r="P535" s="2">
        <v>1279.8499999999999</v>
      </c>
      <c r="Q535" s="2">
        <v>144.15</v>
      </c>
      <c r="R535">
        <v>1</v>
      </c>
      <c r="S535" s="2" t="str">
        <f>TEXT(data[[#This Row],[Date]],"mmm yyyy")</f>
        <v>Oct 2024</v>
      </c>
      <c r="T535" s="8">
        <f>data[[#This Row],[Profit]]/data[[#This Row],[Revenue]]</f>
        <v>0.10122893258426967</v>
      </c>
    </row>
    <row r="536" spans="1:20" x14ac:dyDescent="0.3">
      <c r="A536">
        <v>10534</v>
      </c>
      <c r="B536" t="s">
        <v>387</v>
      </c>
      <c r="C536" t="s">
        <v>606</v>
      </c>
      <c r="D536" t="s">
        <v>620</v>
      </c>
      <c r="E536" t="s">
        <v>626</v>
      </c>
      <c r="F536" t="s">
        <v>1147</v>
      </c>
      <c r="G536" t="s">
        <v>1766</v>
      </c>
      <c r="H536" t="s">
        <v>1769</v>
      </c>
      <c r="I536" t="s">
        <v>1773</v>
      </c>
      <c r="J536" t="s">
        <v>1778</v>
      </c>
      <c r="K536">
        <v>17</v>
      </c>
      <c r="L536" s="2">
        <v>423</v>
      </c>
      <c r="M536">
        <v>0.05</v>
      </c>
      <c r="N536" s="2">
        <v>316.08</v>
      </c>
      <c r="O536" s="2">
        <v>6831.45</v>
      </c>
      <c r="P536" s="2">
        <v>5373.36</v>
      </c>
      <c r="Q536" s="2">
        <v>1458.09</v>
      </c>
      <c r="R536">
        <v>0</v>
      </c>
      <c r="S536" s="2" t="str">
        <f>TEXT(data[[#This Row],[Date]],"mmm yyyy")</f>
        <v>May 2024</v>
      </c>
      <c r="T536" s="8">
        <f>data[[#This Row],[Profit]]/data[[#This Row],[Revenue]]</f>
        <v>0.21343784994400894</v>
      </c>
    </row>
    <row r="537" spans="1:20" x14ac:dyDescent="0.3">
      <c r="A537">
        <v>10535</v>
      </c>
      <c r="B537" t="s">
        <v>311</v>
      </c>
      <c r="C537" t="s">
        <v>608</v>
      </c>
      <c r="D537" t="s">
        <v>614</v>
      </c>
      <c r="E537" t="s">
        <v>627</v>
      </c>
      <c r="F537" t="s">
        <v>1148</v>
      </c>
      <c r="G537" t="s">
        <v>1762</v>
      </c>
      <c r="H537" t="s">
        <v>1768</v>
      </c>
      <c r="I537" t="s">
        <v>1774</v>
      </c>
      <c r="J537" t="s">
        <v>1777</v>
      </c>
      <c r="K537">
        <v>6</v>
      </c>
      <c r="L537" s="2">
        <v>1228</v>
      </c>
      <c r="M537">
        <v>0</v>
      </c>
      <c r="N537" s="2">
        <v>642.41999999999996</v>
      </c>
      <c r="O537" s="2">
        <v>7368</v>
      </c>
      <c r="P537" s="2">
        <v>3854.52</v>
      </c>
      <c r="Q537" s="2">
        <v>3513.48</v>
      </c>
      <c r="R537">
        <v>1</v>
      </c>
      <c r="S537" s="2" t="str">
        <f>TEXT(data[[#This Row],[Date]],"mmm yyyy")</f>
        <v>May 2025</v>
      </c>
      <c r="T537" s="8">
        <f>data[[#This Row],[Profit]]/data[[#This Row],[Revenue]]</f>
        <v>0.47685667752442995</v>
      </c>
    </row>
    <row r="538" spans="1:20" x14ac:dyDescent="0.3">
      <c r="A538">
        <v>10536</v>
      </c>
      <c r="B538" t="s">
        <v>396</v>
      </c>
      <c r="C538" t="s">
        <v>608</v>
      </c>
      <c r="D538" t="s">
        <v>615</v>
      </c>
      <c r="E538" t="s">
        <v>626</v>
      </c>
      <c r="F538" t="s">
        <v>1149</v>
      </c>
      <c r="G538" t="s">
        <v>1764</v>
      </c>
      <c r="H538" t="s">
        <v>1767</v>
      </c>
      <c r="I538" t="s">
        <v>1773</v>
      </c>
      <c r="J538" t="s">
        <v>1776</v>
      </c>
      <c r="K538">
        <v>2</v>
      </c>
      <c r="L538" s="2">
        <v>122</v>
      </c>
      <c r="M538">
        <v>0.1</v>
      </c>
      <c r="N538" s="2">
        <v>77.95</v>
      </c>
      <c r="O538" s="2">
        <v>219.6</v>
      </c>
      <c r="P538" s="2">
        <v>155.9</v>
      </c>
      <c r="Q538" s="2">
        <v>63.7</v>
      </c>
      <c r="R538">
        <v>0</v>
      </c>
      <c r="S538" s="2" t="str">
        <f>TEXT(data[[#This Row],[Date]],"mmm yyyy")</f>
        <v>Dec 2024</v>
      </c>
      <c r="T538" s="8">
        <f>data[[#This Row],[Profit]]/data[[#This Row],[Revenue]]</f>
        <v>0.29007285974499092</v>
      </c>
    </row>
    <row r="539" spans="1:20" x14ac:dyDescent="0.3">
      <c r="A539">
        <v>10537</v>
      </c>
      <c r="B539" t="s">
        <v>385</v>
      </c>
      <c r="C539" t="s">
        <v>606</v>
      </c>
      <c r="D539" t="s">
        <v>610</v>
      </c>
      <c r="E539" t="s">
        <v>626</v>
      </c>
      <c r="F539" t="s">
        <v>1150</v>
      </c>
      <c r="G539" t="s">
        <v>1766</v>
      </c>
      <c r="H539" t="s">
        <v>1770</v>
      </c>
      <c r="I539" t="s">
        <v>1775</v>
      </c>
      <c r="J539" t="s">
        <v>1779</v>
      </c>
      <c r="K539">
        <v>9</v>
      </c>
      <c r="L539" s="2">
        <v>448</v>
      </c>
      <c r="M539">
        <v>0.2</v>
      </c>
      <c r="N539" s="2">
        <v>224.81</v>
      </c>
      <c r="O539" s="2">
        <v>3225.6</v>
      </c>
      <c r="P539" s="2">
        <v>2023.29</v>
      </c>
      <c r="Q539" s="2">
        <v>1202.31</v>
      </c>
      <c r="R539">
        <v>1</v>
      </c>
      <c r="S539" s="2" t="str">
        <f>TEXT(data[[#This Row],[Date]],"mmm yyyy")</f>
        <v>Aug 2025</v>
      </c>
      <c r="T539" s="8">
        <f>data[[#This Row],[Profit]]/data[[#This Row],[Revenue]]</f>
        <v>0.37273995535714283</v>
      </c>
    </row>
    <row r="540" spans="1:20" x14ac:dyDescent="0.3">
      <c r="A540">
        <v>10538</v>
      </c>
      <c r="B540" t="s">
        <v>397</v>
      </c>
      <c r="C540" t="s">
        <v>609</v>
      </c>
      <c r="D540" t="s">
        <v>619</v>
      </c>
      <c r="E540" t="s">
        <v>629</v>
      </c>
      <c r="F540" t="s">
        <v>1151</v>
      </c>
      <c r="G540" t="s">
        <v>1762</v>
      </c>
      <c r="H540" t="s">
        <v>1771</v>
      </c>
      <c r="I540" t="s">
        <v>1774</v>
      </c>
      <c r="J540" t="s">
        <v>1776</v>
      </c>
      <c r="K540">
        <v>17</v>
      </c>
      <c r="L540" s="2">
        <v>587</v>
      </c>
      <c r="M540">
        <v>0.1</v>
      </c>
      <c r="N540" s="2">
        <v>369.42</v>
      </c>
      <c r="O540" s="2">
        <v>8981.1</v>
      </c>
      <c r="P540" s="2">
        <v>6280.14</v>
      </c>
      <c r="Q540" s="2">
        <v>2700.96</v>
      </c>
      <c r="R540">
        <v>0</v>
      </c>
      <c r="S540" s="2" t="str">
        <f>TEXT(data[[#This Row],[Date]],"mmm yyyy")</f>
        <v>Mar 2025</v>
      </c>
      <c r="T540" s="8">
        <f>data[[#This Row],[Profit]]/data[[#This Row],[Revenue]]</f>
        <v>0.30073821692220326</v>
      </c>
    </row>
    <row r="541" spans="1:20" x14ac:dyDescent="0.3">
      <c r="A541">
        <v>10539</v>
      </c>
      <c r="B541" t="s">
        <v>398</v>
      </c>
      <c r="C541" t="s">
        <v>607</v>
      </c>
      <c r="D541" t="s">
        <v>624</v>
      </c>
      <c r="E541" t="s">
        <v>626</v>
      </c>
      <c r="F541" t="s">
        <v>1152</v>
      </c>
      <c r="G541" t="s">
        <v>1760</v>
      </c>
      <c r="H541" t="s">
        <v>1772</v>
      </c>
      <c r="I541" t="s">
        <v>1773</v>
      </c>
      <c r="J541" t="s">
        <v>1776</v>
      </c>
      <c r="K541">
        <v>13</v>
      </c>
      <c r="L541" s="2">
        <v>616</v>
      </c>
      <c r="M541">
        <v>0.15</v>
      </c>
      <c r="N541" s="2">
        <v>377.13</v>
      </c>
      <c r="O541" s="2">
        <v>6806.8</v>
      </c>
      <c r="P541" s="2">
        <v>4902.6899999999996</v>
      </c>
      <c r="Q541" s="2">
        <v>1904.11</v>
      </c>
      <c r="R541">
        <v>0</v>
      </c>
      <c r="S541" s="2" t="str">
        <f>TEXT(data[[#This Row],[Date]],"mmm yyyy")</f>
        <v>Jan 2025</v>
      </c>
      <c r="T541" s="8">
        <f>data[[#This Row],[Profit]]/data[[#This Row],[Revenue]]</f>
        <v>0.27973644003055764</v>
      </c>
    </row>
    <row r="542" spans="1:20" x14ac:dyDescent="0.3">
      <c r="A542">
        <v>10540</v>
      </c>
      <c r="B542" t="s">
        <v>399</v>
      </c>
      <c r="C542" t="s">
        <v>606</v>
      </c>
      <c r="D542" t="s">
        <v>616</v>
      </c>
      <c r="E542" t="s">
        <v>629</v>
      </c>
      <c r="F542" t="s">
        <v>1153</v>
      </c>
      <c r="G542" t="s">
        <v>1764</v>
      </c>
      <c r="H542" t="s">
        <v>1770</v>
      </c>
      <c r="I542" t="s">
        <v>1775</v>
      </c>
      <c r="J542" t="s">
        <v>1776</v>
      </c>
      <c r="K542">
        <v>2</v>
      </c>
      <c r="L542" s="2">
        <v>731</v>
      </c>
      <c r="M542">
        <v>0.05</v>
      </c>
      <c r="N542" s="2">
        <v>518.36</v>
      </c>
      <c r="O542" s="2">
        <v>1388.9</v>
      </c>
      <c r="P542" s="2">
        <v>1036.72</v>
      </c>
      <c r="Q542" s="2">
        <v>352.18</v>
      </c>
      <c r="R542">
        <v>0</v>
      </c>
      <c r="S542" s="2" t="str">
        <f>TEXT(data[[#This Row],[Date]],"mmm yyyy")</f>
        <v>Apr 2025</v>
      </c>
      <c r="T542" s="8">
        <f>data[[#This Row],[Profit]]/data[[#This Row],[Revenue]]</f>
        <v>0.25356757145942832</v>
      </c>
    </row>
    <row r="543" spans="1:20" x14ac:dyDescent="0.3">
      <c r="A543">
        <v>10541</v>
      </c>
      <c r="B543" t="s">
        <v>400</v>
      </c>
      <c r="C543" t="s">
        <v>608</v>
      </c>
      <c r="D543" t="s">
        <v>618</v>
      </c>
      <c r="E543" t="s">
        <v>626</v>
      </c>
      <c r="F543" t="s">
        <v>1154</v>
      </c>
      <c r="G543" t="s">
        <v>1759</v>
      </c>
      <c r="H543" t="s">
        <v>1772</v>
      </c>
      <c r="I543" t="s">
        <v>1773</v>
      </c>
      <c r="J543" t="s">
        <v>1779</v>
      </c>
      <c r="K543">
        <v>12</v>
      </c>
      <c r="L543" s="2">
        <v>617</v>
      </c>
      <c r="M543">
        <v>0.2</v>
      </c>
      <c r="N543" s="2">
        <v>434.59</v>
      </c>
      <c r="O543" s="2">
        <v>5923.2</v>
      </c>
      <c r="P543" s="2">
        <v>5215.08</v>
      </c>
      <c r="Q543" s="2">
        <v>708.12</v>
      </c>
      <c r="R543">
        <v>1</v>
      </c>
      <c r="S543" s="2" t="str">
        <f>TEXT(data[[#This Row],[Date]],"mmm yyyy")</f>
        <v>May 2024</v>
      </c>
      <c r="T543" s="8">
        <f>data[[#This Row],[Profit]]/data[[#This Row],[Revenue]]</f>
        <v>0.11955024311183145</v>
      </c>
    </row>
    <row r="544" spans="1:20" x14ac:dyDescent="0.3">
      <c r="A544">
        <v>10542</v>
      </c>
      <c r="B544" t="s">
        <v>339</v>
      </c>
      <c r="C544" t="s">
        <v>607</v>
      </c>
      <c r="D544" t="s">
        <v>621</v>
      </c>
      <c r="E544" t="s">
        <v>627</v>
      </c>
      <c r="F544" t="s">
        <v>1155</v>
      </c>
      <c r="G544" t="s">
        <v>1766</v>
      </c>
      <c r="H544" t="s">
        <v>1768</v>
      </c>
      <c r="I544" t="s">
        <v>1773</v>
      </c>
      <c r="J544" t="s">
        <v>1778</v>
      </c>
      <c r="K544">
        <v>14</v>
      </c>
      <c r="L544" s="2">
        <v>808</v>
      </c>
      <c r="M544">
        <v>0.15</v>
      </c>
      <c r="N544" s="2">
        <v>454.42</v>
      </c>
      <c r="O544" s="2">
        <v>9615.2000000000007</v>
      </c>
      <c r="P544" s="2">
        <v>6361.88</v>
      </c>
      <c r="Q544" s="2">
        <v>3253.32</v>
      </c>
      <c r="R544">
        <v>0</v>
      </c>
      <c r="S544" s="2" t="str">
        <f>TEXT(data[[#This Row],[Date]],"mmm yyyy")</f>
        <v>Aug 2025</v>
      </c>
      <c r="T544" s="8">
        <f>data[[#This Row],[Profit]]/data[[#This Row],[Revenue]]</f>
        <v>0.33835177635410602</v>
      </c>
    </row>
    <row r="545" spans="1:20" x14ac:dyDescent="0.3">
      <c r="A545">
        <v>10543</v>
      </c>
      <c r="B545" t="s">
        <v>401</v>
      </c>
      <c r="C545" t="s">
        <v>609</v>
      </c>
      <c r="D545" t="s">
        <v>619</v>
      </c>
      <c r="E545" t="s">
        <v>626</v>
      </c>
      <c r="F545" t="s">
        <v>1156</v>
      </c>
      <c r="G545" t="s">
        <v>1762</v>
      </c>
      <c r="H545" t="s">
        <v>1769</v>
      </c>
      <c r="I545" t="s">
        <v>1775</v>
      </c>
      <c r="J545" t="s">
        <v>1777</v>
      </c>
      <c r="K545">
        <v>17</v>
      </c>
      <c r="L545" s="2">
        <v>243</v>
      </c>
      <c r="M545">
        <v>0.1</v>
      </c>
      <c r="N545" s="2">
        <v>180.24</v>
      </c>
      <c r="O545" s="2">
        <v>3717.9</v>
      </c>
      <c r="P545" s="2">
        <v>3064.08</v>
      </c>
      <c r="Q545" s="2">
        <v>653.82000000000005</v>
      </c>
      <c r="R545">
        <v>0</v>
      </c>
      <c r="S545" s="2" t="str">
        <f>TEXT(data[[#This Row],[Date]],"mmm yyyy")</f>
        <v>Dec 2024</v>
      </c>
      <c r="T545" s="8">
        <f>data[[#This Row],[Profit]]/data[[#This Row],[Revenue]]</f>
        <v>0.1758573388203018</v>
      </c>
    </row>
    <row r="546" spans="1:20" x14ac:dyDescent="0.3">
      <c r="A546">
        <v>10544</v>
      </c>
      <c r="B546" t="s">
        <v>402</v>
      </c>
      <c r="C546" t="s">
        <v>606</v>
      </c>
      <c r="D546" t="s">
        <v>620</v>
      </c>
      <c r="E546" t="s">
        <v>627</v>
      </c>
      <c r="F546" t="s">
        <v>1157</v>
      </c>
      <c r="G546" t="s">
        <v>1762</v>
      </c>
      <c r="H546" t="s">
        <v>1767</v>
      </c>
      <c r="I546" t="s">
        <v>1775</v>
      </c>
      <c r="J546" t="s">
        <v>1778</v>
      </c>
      <c r="K546">
        <v>11</v>
      </c>
      <c r="L546" s="2">
        <v>111</v>
      </c>
      <c r="M546">
        <v>0.2</v>
      </c>
      <c r="N546" s="2">
        <v>61.2</v>
      </c>
      <c r="O546" s="2">
        <v>976.8</v>
      </c>
      <c r="P546" s="2">
        <v>673.2</v>
      </c>
      <c r="Q546" s="2">
        <v>303.60000000000002</v>
      </c>
      <c r="R546">
        <v>0</v>
      </c>
      <c r="S546" s="2" t="str">
        <f>TEXT(data[[#This Row],[Date]],"mmm yyyy")</f>
        <v>Jul 2025</v>
      </c>
      <c r="T546" s="8">
        <f>data[[#This Row],[Profit]]/data[[#This Row],[Revenue]]</f>
        <v>0.31081081081081086</v>
      </c>
    </row>
    <row r="547" spans="1:20" x14ac:dyDescent="0.3">
      <c r="A547">
        <v>10545</v>
      </c>
      <c r="B547" t="s">
        <v>339</v>
      </c>
      <c r="C547" t="s">
        <v>607</v>
      </c>
      <c r="D547" t="s">
        <v>621</v>
      </c>
      <c r="E547" t="s">
        <v>627</v>
      </c>
      <c r="F547" t="s">
        <v>1158</v>
      </c>
      <c r="G547" t="s">
        <v>1765</v>
      </c>
      <c r="H547" t="s">
        <v>1772</v>
      </c>
      <c r="I547" t="s">
        <v>1773</v>
      </c>
      <c r="J547" t="s">
        <v>1778</v>
      </c>
      <c r="K547">
        <v>15</v>
      </c>
      <c r="L547" s="2">
        <v>768</v>
      </c>
      <c r="M547">
        <v>0.05</v>
      </c>
      <c r="N547" s="2">
        <v>558.36</v>
      </c>
      <c r="O547" s="2">
        <v>10944</v>
      </c>
      <c r="P547" s="2">
        <v>8375.4</v>
      </c>
      <c r="Q547" s="2">
        <v>2568.6</v>
      </c>
      <c r="R547">
        <v>0</v>
      </c>
      <c r="S547" s="2" t="str">
        <f>TEXT(data[[#This Row],[Date]],"mmm yyyy")</f>
        <v>Aug 2025</v>
      </c>
      <c r="T547" s="8">
        <f>data[[#This Row],[Profit]]/data[[#This Row],[Revenue]]</f>
        <v>0.23470394736842104</v>
      </c>
    </row>
    <row r="548" spans="1:20" x14ac:dyDescent="0.3">
      <c r="A548">
        <v>10546</v>
      </c>
      <c r="B548" t="s">
        <v>403</v>
      </c>
      <c r="C548" t="s">
        <v>608</v>
      </c>
      <c r="D548" t="s">
        <v>615</v>
      </c>
      <c r="E548" t="s">
        <v>628</v>
      </c>
      <c r="F548" t="s">
        <v>1159</v>
      </c>
      <c r="G548" t="s">
        <v>1765</v>
      </c>
      <c r="H548" t="s">
        <v>1772</v>
      </c>
      <c r="I548" t="s">
        <v>1774</v>
      </c>
      <c r="J548" t="s">
        <v>1778</v>
      </c>
      <c r="K548">
        <v>16</v>
      </c>
      <c r="L548" s="2">
        <v>913</v>
      </c>
      <c r="M548">
        <v>0.15</v>
      </c>
      <c r="N548" s="2">
        <v>491.83</v>
      </c>
      <c r="O548" s="2">
        <v>12416.8</v>
      </c>
      <c r="P548" s="2">
        <v>7869.28</v>
      </c>
      <c r="Q548" s="2">
        <v>4547.5200000000004</v>
      </c>
      <c r="R548">
        <v>0</v>
      </c>
      <c r="S548" s="2" t="str">
        <f>TEXT(data[[#This Row],[Date]],"mmm yyyy")</f>
        <v>Feb 2024</v>
      </c>
      <c r="T548" s="8">
        <f>data[[#This Row],[Profit]]/data[[#This Row],[Revenue]]</f>
        <v>0.36623928870562472</v>
      </c>
    </row>
    <row r="549" spans="1:20" x14ac:dyDescent="0.3">
      <c r="A549">
        <v>10547</v>
      </c>
      <c r="B549" t="s">
        <v>199</v>
      </c>
      <c r="C549" t="s">
        <v>608</v>
      </c>
      <c r="D549" t="s">
        <v>615</v>
      </c>
      <c r="E549" t="s">
        <v>627</v>
      </c>
      <c r="F549" t="s">
        <v>1160</v>
      </c>
      <c r="G549" t="s">
        <v>1765</v>
      </c>
      <c r="H549" t="s">
        <v>1772</v>
      </c>
      <c r="I549" t="s">
        <v>1774</v>
      </c>
      <c r="J549" t="s">
        <v>1778</v>
      </c>
      <c r="K549">
        <v>5</v>
      </c>
      <c r="L549" s="2">
        <v>638</v>
      </c>
      <c r="M549">
        <v>0.1</v>
      </c>
      <c r="N549" s="2">
        <v>478.27</v>
      </c>
      <c r="O549" s="2">
        <v>2871</v>
      </c>
      <c r="P549" s="2">
        <v>2391.35</v>
      </c>
      <c r="Q549" s="2">
        <v>479.65</v>
      </c>
      <c r="R549">
        <v>1</v>
      </c>
      <c r="S549" s="2" t="str">
        <f>TEXT(data[[#This Row],[Date]],"mmm yyyy")</f>
        <v>Jun 2025</v>
      </c>
      <c r="T549" s="8">
        <f>data[[#This Row],[Profit]]/data[[#This Row],[Revenue]]</f>
        <v>0.16706722396377569</v>
      </c>
    </row>
    <row r="550" spans="1:20" x14ac:dyDescent="0.3">
      <c r="A550">
        <v>10548</v>
      </c>
      <c r="B550" t="s">
        <v>404</v>
      </c>
      <c r="C550" t="s">
        <v>606</v>
      </c>
      <c r="D550" t="s">
        <v>620</v>
      </c>
      <c r="E550" t="s">
        <v>626</v>
      </c>
      <c r="F550" t="s">
        <v>1161</v>
      </c>
      <c r="G550" t="s">
        <v>1764</v>
      </c>
      <c r="H550" t="s">
        <v>1770</v>
      </c>
      <c r="I550" t="s">
        <v>1775</v>
      </c>
      <c r="J550" t="s">
        <v>1777</v>
      </c>
      <c r="K550">
        <v>6</v>
      </c>
      <c r="L550" s="2">
        <v>843</v>
      </c>
      <c r="M550">
        <v>0</v>
      </c>
      <c r="N550" s="2">
        <v>624.23</v>
      </c>
      <c r="O550" s="2">
        <v>5058</v>
      </c>
      <c r="P550" s="2">
        <v>3745.38</v>
      </c>
      <c r="Q550" s="2">
        <v>1312.62</v>
      </c>
      <c r="R550">
        <v>0</v>
      </c>
      <c r="S550" s="2" t="str">
        <f>TEXT(data[[#This Row],[Date]],"mmm yyyy")</f>
        <v>Aug 2024</v>
      </c>
      <c r="T550" s="8">
        <f>data[[#This Row],[Profit]]/data[[#This Row],[Revenue]]</f>
        <v>0.25951364175563463</v>
      </c>
    </row>
    <row r="551" spans="1:20" x14ac:dyDescent="0.3">
      <c r="A551">
        <v>10549</v>
      </c>
      <c r="B551" t="s">
        <v>385</v>
      </c>
      <c r="C551" t="s">
        <v>606</v>
      </c>
      <c r="D551" t="s">
        <v>625</v>
      </c>
      <c r="E551" t="s">
        <v>626</v>
      </c>
      <c r="F551" t="s">
        <v>1162</v>
      </c>
      <c r="G551" t="s">
        <v>1765</v>
      </c>
      <c r="H551" t="s">
        <v>1772</v>
      </c>
      <c r="I551" t="s">
        <v>1774</v>
      </c>
      <c r="J551" t="s">
        <v>1778</v>
      </c>
      <c r="K551">
        <v>2</v>
      </c>
      <c r="L551" s="2">
        <v>1193</v>
      </c>
      <c r="M551">
        <v>0.2</v>
      </c>
      <c r="N551" s="2">
        <v>791.53</v>
      </c>
      <c r="O551" s="2">
        <v>1908.8</v>
      </c>
      <c r="P551" s="2">
        <v>1583.06</v>
      </c>
      <c r="Q551" s="2">
        <v>325.74</v>
      </c>
      <c r="R551">
        <v>0</v>
      </c>
      <c r="S551" s="2" t="str">
        <f>TEXT(data[[#This Row],[Date]],"mmm yyyy")</f>
        <v>Aug 2025</v>
      </c>
      <c r="T551" s="8">
        <f>data[[#This Row],[Profit]]/data[[#This Row],[Revenue]]</f>
        <v>0.17065171835708298</v>
      </c>
    </row>
    <row r="552" spans="1:20" x14ac:dyDescent="0.3">
      <c r="A552">
        <v>10550</v>
      </c>
      <c r="B552" t="s">
        <v>256</v>
      </c>
      <c r="C552" t="s">
        <v>609</v>
      </c>
      <c r="D552" t="s">
        <v>619</v>
      </c>
      <c r="E552" t="s">
        <v>626</v>
      </c>
      <c r="F552" t="s">
        <v>1163</v>
      </c>
      <c r="G552" t="s">
        <v>1762</v>
      </c>
      <c r="H552" t="s">
        <v>1771</v>
      </c>
      <c r="I552" t="s">
        <v>1773</v>
      </c>
      <c r="J552" t="s">
        <v>1779</v>
      </c>
      <c r="K552">
        <v>16</v>
      </c>
      <c r="L552" s="2">
        <v>423</v>
      </c>
      <c r="M552">
        <v>0.2</v>
      </c>
      <c r="N552" s="2">
        <v>291.17</v>
      </c>
      <c r="O552" s="2">
        <v>5414.4</v>
      </c>
      <c r="P552" s="2">
        <v>4658.72</v>
      </c>
      <c r="Q552" s="2">
        <v>755.68</v>
      </c>
      <c r="R552">
        <v>0</v>
      </c>
      <c r="S552" s="2" t="str">
        <f>TEXT(data[[#This Row],[Date]],"mmm yyyy")</f>
        <v>Apr 2025</v>
      </c>
      <c r="T552" s="8">
        <f>data[[#This Row],[Profit]]/data[[#This Row],[Revenue]]</f>
        <v>0.13956855791962175</v>
      </c>
    </row>
    <row r="553" spans="1:20" x14ac:dyDescent="0.3">
      <c r="A553">
        <v>10551</v>
      </c>
      <c r="B553" t="s">
        <v>405</v>
      </c>
      <c r="C553" t="s">
        <v>606</v>
      </c>
      <c r="D553" t="s">
        <v>625</v>
      </c>
      <c r="E553" t="s">
        <v>629</v>
      </c>
      <c r="F553" t="s">
        <v>1164</v>
      </c>
      <c r="G553" t="s">
        <v>1761</v>
      </c>
      <c r="H553" t="s">
        <v>1770</v>
      </c>
      <c r="I553" t="s">
        <v>1773</v>
      </c>
      <c r="J553" t="s">
        <v>1776</v>
      </c>
      <c r="K553">
        <v>7</v>
      </c>
      <c r="L553" s="2">
        <v>503</v>
      </c>
      <c r="M553">
        <v>0.2</v>
      </c>
      <c r="N553" s="2">
        <v>332.35</v>
      </c>
      <c r="O553" s="2">
        <v>2816.8</v>
      </c>
      <c r="P553" s="2">
        <v>2326.4499999999998</v>
      </c>
      <c r="Q553" s="2">
        <v>490.35</v>
      </c>
      <c r="R553">
        <v>0</v>
      </c>
      <c r="S553" s="2" t="str">
        <f>TEXT(data[[#This Row],[Date]],"mmm yyyy")</f>
        <v>Oct 2024</v>
      </c>
      <c r="T553" s="8">
        <f>data[[#This Row],[Profit]]/data[[#This Row],[Revenue]]</f>
        <v>0.17408051689860835</v>
      </c>
    </row>
    <row r="554" spans="1:20" x14ac:dyDescent="0.3">
      <c r="A554">
        <v>10552</v>
      </c>
      <c r="B554" t="s">
        <v>80</v>
      </c>
      <c r="C554" t="s">
        <v>609</v>
      </c>
      <c r="D554" t="s">
        <v>619</v>
      </c>
      <c r="E554" t="s">
        <v>627</v>
      </c>
      <c r="F554" t="s">
        <v>1165</v>
      </c>
      <c r="G554" t="s">
        <v>1762</v>
      </c>
      <c r="H554" t="s">
        <v>1772</v>
      </c>
      <c r="I554" t="s">
        <v>1773</v>
      </c>
      <c r="J554" t="s">
        <v>1776</v>
      </c>
      <c r="K554">
        <v>6</v>
      </c>
      <c r="L554" s="2">
        <v>1088</v>
      </c>
      <c r="M554">
        <v>0.15</v>
      </c>
      <c r="N554" s="2">
        <v>636.4</v>
      </c>
      <c r="O554" s="2">
        <v>5548.8</v>
      </c>
      <c r="P554" s="2">
        <v>3818.4</v>
      </c>
      <c r="Q554" s="2">
        <v>1730.4</v>
      </c>
      <c r="R554">
        <v>0</v>
      </c>
      <c r="S554" s="2" t="str">
        <f>TEXT(data[[#This Row],[Date]],"mmm yyyy")</f>
        <v>Sep 2024</v>
      </c>
      <c r="T554" s="8">
        <f>data[[#This Row],[Profit]]/data[[#This Row],[Revenue]]</f>
        <v>0.31185121107266439</v>
      </c>
    </row>
    <row r="555" spans="1:20" x14ac:dyDescent="0.3">
      <c r="A555">
        <v>10553</v>
      </c>
      <c r="B555" t="s">
        <v>122</v>
      </c>
      <c r="C555" t="s">
        <v>608</v>
      </c>
      <c r="D555" t="s">
        <v>614</v>
      </c>
      <c r="E555" t="s">
        <v>628</v>
      </c>
      <c r="F555" t="s">
        <v>1166</v>
      </c>
      <c r="G555" t="s">
        <v>1760</v>
      </c>
      <c r="H555" t="s">
        <v>1771</v>
      </c>
      <c r="I555" t="s">
        <v>1775</v>
      </c>
      <c r="J555" t="s">
        <v>1776</v>
      </c>
      <c r="K555">
        <v>17</v>
      </c>
      <c r="L555" s="2">
        <v>488</v>
      </c>
      <c r="M555">
        <v>0.2</v>
      </c>
      <c r="N555" s="2">
        <v>302.12</v>
      </c>
      <c r="O555" s="2">
        <v>6636.8</v>
      </c>
      <c r="P555" s="2">
        <v>5136.04</v>
      </c>
      <c r="Q555" s="2">
        <v>1500.76</v>
      </c>
      <c r="R555">
        <v>1</v>
      </c>
      <c r="S555" s="2" t="str">
        <f>TEXT(data[[#This Row],[Date]],"mmm yyyy")</f>
        <v>Aug 2025</v>
      </c>
      <c r="T555" s="8">
        <f>data[[#This Row],[Profit]]/data[[#This Row],[Revenue]]</f>
        <v>0.22612704918032786</v>
      </c>
    </row>
    <row r="556" spans="1:20" x14ac:dyDescent="0.3">
      <c r="A556">
        <v>10554</v>
      </c>
      <c r="B556" t="s">
        <v>406</v>
      </c>
      <c r="C556" t="s">
        <v>609</v>
      </c>
      <c r="D556" t="s">
        <v>623</v>
      </c>
      <c r="E556" t="s">
        <v>629</v>
      </c>
      <c r="F556" t="s">
        <v>1167</v>
      </c>
      <c r="G556" t="s">
        <v>1765</v>
      </c>
      <c r="H556" t="s">
        <v>1771</v>
      </c>
      <c r="I556" t="s">
        <v>1775</v>
      </c>
      <c r="J556" t="s">
        <v>1777</v>
      </c>
      <c r="K556">
        <v>20</v>
      </c>
      <c r="L556" s="2">
        <v>313</v>
      </c>
      <c r="M556">
        <v>0</v>
      </c>
      <c r="N556" s="2">
        <v>217.68</v>
      </c>
      <c r="O556" s="2">
        <v>6260</v>
      </c>
      <c r="P556" s="2">
        <v>4353.6000000000004</v>
      </c>
      <c r="Q556" s="2">
        <v>1906.4</v>
      </c>
      <c r="R556">
        <v>0</v>
      </c>
      <c r="S556" s="2" t="str">
        <f>TEXT(data[[#This Row],[Date]],"mmm yyyy")</f>
        <v>Nov 2024</v>
      </c>
      <c r="T556" s="8">
        <f>data[[#This Row],[Profit]]/data[[#This Row],[Revenue]]</f>
        <v>0.30453674121405755</v>
      </c>
    </row>
    <row r="557" spans="1:20" x14ac:dyDescent="0.3">
      <c r="A557">
        <v>10555</v>
      </c>
      <c r="B557" t="s">
        <v>341</v>
      </c>
      <c r="C557" t="s">
        <v>606</v>
      </c>
      <c r="D557" t="s">
        <v>625</v>
      </c>
      <c r="E557" t="s">
        <v>629</v>
      </c>
      <c r="F557" t="s">
        <v>1168</v>
      </c>
      <c r="G557" t="s">
        <v>1765</v>
      </c>
      <c r="H557" t="s">
        <v>1771</v>
      </c>
      <c r="I557" t="s">
        <v>1774</v>
      </c>
      <c r="J557" t="s">
        <v>1778</v>
      </c>
      <c r="K557">
        <v>15</v>
      </c>
      <c r="L557" s="2">
        <v>368</v>
      </c>
      <c r="M557">
        <v>0.05</v>
      </c>
      <c r="N557" s="2">
        <v>224.97</v>
      </c>
      <c r="O557" s="2">
        <v>5244</v>
      </c>
      <c r="P557" s="2">
        <v>3374.55</v>
      </c>
      <c r="Q557" s="2">
        <v>1869.45</v>
      </c>
      <c r="R557">
        <v>0</v>
      </c>
      <c r="S557" s="2" t="str">
        <f>TEXT(data[[#This Row],[Date]],"mmm yyyy")</f>
        <v>May 2024</v>
      </c>
      <c r="T557" s="8">
        <f>data[[#This Row],[Profit]]/data[[#This Row],[Revenue]]</f>
        <v>0.35649313501144164</v>
      </c>
    </row>
    <row r="558" spans="1:20" x14ac:dyDescent="0.3">
      <c r="A558">
        <v>10556</v>
      </c>
      <c r="B558" t="s">
        <v>407</v>
      </c>
      <c r="C558" t="s">
        <v>608</v>
      </c>
      <c r="D558" t="s">
        <v>615</v>
      </c>
      <c r="E558" t="s">
        <v>626</v>
      </c>
      <c r="F558" t="s">
        <v>1169</v>
      </c>
      <c r="G558" t="s">
        <v>1761</v>
      </c>
      <c r="H558" t="s">
        <v>1772</v>
      </c>
      <c r="I558" t="s">
        <v>1773</v>
      </c>
      <c r="J558" t="s">
        <v>1778</v>
      </c>
      <c r="K558">
        <v>17</v>
      </c>
      <c r="L558" s="2">
        <v>589</v>
      </c>
      <c r="M558">
        <v>0.1</v>
      </c>
      <c r="N558" s="2">
        <v>383.74</v>
      </c>
      <c r="O558" s="2">
        <v>9011.7000000000007</v>
      </c>
      <c r="P558" s="2">
        <v>6523.58</v>
      </c>
      <c r="Q558" s="2">
        <v>2488.12</v>
      </c>
      <c r="R558">
        <v>1</v>
      </c>
      <c r="S558" s="2" t="str">
        <f>TEXT(data[[#This Row],[Date]],"mmm yyyy")</f>
        <v>Apr 2024</v>
      </c>
      <c r="T558" s="8">
        <f>data[[#This Row],[Profit]]/data[[#This Row],[Revenue]]</f>
        <v>0.27609884927372191</v>
      </c>
    </row>
    <row r="559" spans="1:20" x14ac:dyDescent="0.3">
      <c r="A559">
        <v>10557</v>
      </c>
      <c r="B559" t="s">
        <v>278</v>
      </c>
      <c r="C559" t="s">
        <v>606</v>
      </c>
      <c r="D559" t="s">
        <v>616</v>
      </c>
      <c r="E559" t="s">
        <v>629</v>
      </c>
      <c r="F559" t="s">
        <v>1170</v>
      </c>
      <c r="G559" t="s">
        <v>1765</v>
      </c>
      <c r="H559" t="s">
        <v>1768</v>
      </c>
      <c r="I559" t="s">
        <v>1774</v>
      </c>
      <c r="J559" t="s">
        <v>1778</v>
      </c>
      <c r="K559">
        <v>4</v>
      </c>
      <c r="L559" s="2">
        <v>1351</v>
      </c>
      <c r="M559">
        <v>0</v>
      </c>
      <c r="N559" s="2">
        <v>736.33</v>
      </c>
      <c r="O559" s="2">
        <v>5404</v>
      </c>
      <c r="P559" s="2">
        <v>2945.32</v>
      </c>
      <c r="Q559" s="2">
        <v>2458.6799999999998</v>
      </c>
      <c r="R559">
        <v>1</v>
      </c>
      <c r="S559" s="2" t="str">
        <f>TEXT(data[[#This Row],[Date]],"mmm yyyy")</f>
        <v>Sep 2024</v>
      </c>
      <c r="T559" s="8">
        <f>data[[#This Row],[Profit]]/data[[#This Row],[Revenue]]</f>
        <v>0.45497409326424865</v>
      </c>
    </row>
    <row r="560" spans="1:20" x14ac:dyDescent="0.3">
      <c r="A560">
        <v>10558</v>
      </c>
      <c r="B560" t="s">
        <v>152</v>
      </c>
      <c r="C560" t="s">
        <v>609</v>
      </c>
      <c r="D560" t="s">
        <v>623</v>
      </c>
      <c r="E560" t="s">
        <v>629</v>
      </c>
      <c r="F560" t="s">
        <v>1171</v>
      </c>
      <c r="G560" t="s">
        <v>1761</v>
      </c>
      <c r="H560" t="s">
        <v>1772</v>
      </c>
      <c r="I560" t="s">
        <v>1774</v>
      </c>
      <c r="J560" t="s">
        <v>1778</v>
      </c>
      <c r="K560">
        <v>5</v>
      </c>
      <c r="L560" s="2">
        <v>851</v>
      </c>
      <c r="M560">
        <v>0.15</v>
      </c>
      <c r="N560" s="2">
        <v>523.5</v>
      </c>
      <c r="O560" s="2">
        <v>3616.75</v>
      </c>
      <c r="P560" s="2">
        <v>2617.5</v>
      </c>
      <c r="Q560" s="2">
        <v>999.25</v>
      </c>
      <c r="R560">
        <v>0</v>
      </c>
      <c r="S560" s="2" t="str">
        <f>TEXT(data[[#This Row],[Date]],"mmm yyyy")</f>
        <v>Dec 2024</v>
      </c>
      <c r="T560" s="8">
        <f>data[[#This Row],[Profit]]/data[[#This Row],[Revenue]]</f>
        <v>0.27628395659086197</v>
      </c>
    </row>
    <row r="561" spans="1:20" x14ac:dyDescent="0.3">
      <c r="A561">
        <v>10559</v>
      </c>
      <c r="B561" t="s">
        <v>289</v>
      </c>
      <c r="C561" t="s">
        <v>609</v>
      </c>
      <c r="D561" t="s">
        <v>623</v>
      </c>
      <c r="E561" t="s">
        <v>629</v>
      </c>
      <c r="F561" t="s">
        <v>1172</v>
      </c>
      <c r="G561" t="s">
        <v>1761</v>
      </c>
      <c r="H561" t="s">
        <v>1770</v>
      </c>
      <c r="I561" t="s">
        <v>1775</v>
      </c>
      <c r="J561" t="s">
        <v>1776</v>
      </c>
      <c r="K561">
        <v>13</v>
      </c>
      <c r="L561" s="2">
        <v>943</v>
      </c>
      <c r="M561">
        <v>0.1</v>
      </c>
      <c r="N561" s="2">
        <v>650.69000000000005</v>
      </c>
      <c r="O561" s="2">
        <v>11033.1</v>
      </c>
      <c r="P561" s="2">
        <v>8458.9699999999993</v>
      </c>
      <c r="Q561" s="2">
        <v>2574.13</v>
      </c>
      <c r="R561">
        <v>0</v>
      </c>
      <c r="S561" s="2" t="str">
        <f>TEXT(data[[#This Row],[Date]],"mmm yyyy")</f>
        <v>Apr 2025</v>
      </c>
      <c r="T561" s="8">
        <f>data[[#This Row],[Profit]]/data[[#This Row],[Revenue]]</f>
        <v>0.23330976788028751</v>
      </c>
    </row>
    <row r="562" spans="1:20" x14ac:dyDescent="0.3">
      <c r="A562">
        <v>10560</v>
      </c>
      <c r="B562" t="s">
        <v>408</v>
      </c>
      <c r="C562" t="s">
        <v>608</v>
      </c>
      <c r="D562" t="s">
        <v>615</v>
      </c>
      <c r="E562" t="s">
        <v>626</v>
      </c>
      <c r="F562" t="s">
        <v>1173</v>
      </c>
      <c r="G562" t="s">
        <v>1759</v>
      </c>
      <c r="H562" t="s">
        <v>1768</v>
      </c>
      <c r="I562" t="s">
        <v>1773</v>
      </c>
      <c r="J562" t="s">
        <v>1777</v>
      </c>
      <c r="K562">
        <v>17</v>
      </c>
      <c r="L562" s="2">
        <v>841</v>
      </c>
      <c r="M562">
        <v>0.1</v>
      </c>
      <c r="N562" s="2">
        <v>536.97</v>
      </c>
      <c r="O562" s="2">
        <v>12867.3</v>
      </c>
      <c r="P562" s="2">
        <v>9128.49</v>
      </c>
      <c r="Q562" s="2">
        <v>3738.81</v>
      </c>
      <c r="R562">
        <v>0</v>
      </c>
      <c r="S562" s="2" t="str">
        <f>TEXT(data[[#This Row],[Date]],"mmm yyyy")</f>
        <v>Feb 2025</v>
      </c>
      <c r="T562" s="8">
        <f>data[[#This Row],[Profit]]/data[[#This Row],[Revenue]]</f>
        <v>0.29056678557273091</v>
      </c>
    </row>
    <row r="563" spans="1:20" x14ac:dyDescent="0.3">
      <c r="A563">
        <v>10561</v>
      </c>
      <c r="B563" t="s">
        <v>409</v>
      </c>
      <c r="C563" t="s">
        <v>607</v>
      </c>
      <c r="D563" t="s">
        <v>624</v>
      </c>
      <c r="E563" t="s">
        <v>627</v>
      </c>
      <c r="F563" t="s">
        <v>1174</v>
      </c>
      <c r="G563" t="s">
        <v>1763</v>
      </c>
      <c r="H563" t="s">
        <v>1771</v>
      </c>
      <c r="I563" t="s">
        <v>1775</v>
      </c>
      <c r="J563" t="s">
        <v>1778</v>
      </c>
      <c r="K563">
        <v>8</v>
      </c>
      <c r="L563" s="2">
        <v>326</v>
      </c>
      <c r="M563">
        <v>0</v>
      </c>
      <c r="N563" s="2">
        <v>221.95</v>
      </c>
      <c r="O563" s="2">
        <v>2608</v>
      </c>
      <c r="P563" s="2">
        <v>1775.6</v>
      </c>
      <c r="Q563" s="2">
        <v>832.4</v>
      </c>
      <c r="R563">
        <v>0</v>
      </c>
      <c r="S563" s="2" t="str">
        <f>TEXT(data[[#This Row],[Date]],"mmm yyyy")</f>
        <v>Jan 2025</v>
      </c>
      <c r="T563" s="8">
        <f>data[[#This Row],[Profit]]/data[[#This Row],[Revenue]]</f>
        <v>0.31917177914110428</v>
      </c>
    </row>
    <row r="564" spans="1:20" x14ac:dyDescent="0.3">
      <c r="A564">
        <v>10562</v>
      </c>
      <c r="B564" t="s">
        <v>147</v>
      </c>
      <c r="C564" t="s">
        <v>609</v>
      </c>
      <c r="D564" t="s">
        <v>613</v>
      </c>
      <c r="E564" t="s">
        <v>629</v>
      </c>
      <c r="F564" t="s">
        <v>1175</v>
      </c>
      <c r="G564" t="s">
        <v>1765</v>
      </c>
      <c r="H564" t="s">
        <v>1770</v>
      </c>
      <c r="I564" t="s">
        <v>1774</v>
      </c>
      <c r="J564" t="s">
        <v>1779</v>
      </c>
      <c r="K564">
        <v>10</v>
      </c>
      <c r="L564" s="2">
        <v>723</v>
      </c>
      <c r="M564">
        <v>0.2</v>
      </c>
      <c r="N564" s="2">
        <v>493.78</v>
      </c>
      <c r="O564" s="2">
        <v>5784</v>
      </c>
      <c r="P564" s="2">
        <v>4937.8</v>
      </c>
      <c r="Q564" s="2">
        <v>846.2</v>
      </c>
      <c r="R564">
        <v>1</v>
      </c>
      <c r="S564" s="2" t="str">
        <f>TEXT(data[[#This Row],[Date]],"mmm yyyy")</f>
        <v>Feb 2024</v>
      </c>
      <c r="T564" s="8">
        <f>data[[#This Row],[Profit]]/data[[#This Row],[Revenue]]</f>
        <v>0.14630013831258645</v>
      </c>
    </row>
    <row r="565" spans="1:20" x14ac:dyDescent="0.3">
      <c r="A565">
        <v>10563</v>
      </c>
      <c r="B565" t="s">
        <v>410</v>
      </c>
      <c r="C565" t="s">
        <v>608</v>
      </c>
      <c r="D565" t="s">
        <v>612</v>
      </c>
      <c r="E565" t="s">
        <v>629</v>
      </c>
      <c r="F565" t="s">
        <v>1176</v>
      </c>
      <c r="G565" t="s">
        <v>1763</v>
      </c>
      <c r="H565" t="s">
        <v>1770</v>
      </c>
      <c r="I565" t="s">
        <v>1775</v>
      </c>
      <c r="J565" t="s">
        <v>1776</v>
      </c>
      <c r="K565">
        <v>16</v>
      </c>
      <c r="L565" s="2">
        <v>407</v>
      </c>
      <c r="M565">
        <v>0.2</v>
      </c>
      <c r="N565" s="2">
        <v>289.97000000000003</v>
      </c>
      <c r="O565" s="2">
        <v>5209.6000000000004</v>
      </c>
      <c r="P565" s="2">
        <v>4639.5200000000004</v>
      </c>
      <c r="Q565" s="2">
        <v>570.08000000000004</v>
      </c>
      <c r="R565">
        <v>0</v>
      </c>
      <c r="S565" s="2" t="str">
        <f>TEXT(data[[#This Row],[Date]],"mmm yyyy")</f>
        <v>Jan 2024</v>
      </c>
      <c r="T565" s="8">
        <f>data[[#This Row],[Profit]]/data[[#This Row],[Revenue]]</f>
        <v>0.10942874692874693</v>
      </c>
    </row>
    <row r="566" spans="1:20" x14ac:dyDescent="0.3">
      <c r="A566">
        <v>10564</v>
      </c>
      <c r="B566" t="s">
        <v>411</v>
      </c>
      <c r="C566" t="s">
        <v>607</v>
      </c>
      <c r="D566" t="s">
        <v>624</v>
      </c>
      <c r="E566" t="s">
        <v>629</v>
      </c>
      <c r="F566" t="s">
        <v>1177</v>
      </c>
      <c r="G566" t="s">
        <v>1761</v>
      </c>
      <c r="H566" t="s">
        <v>1768</v>
      </c>
      <c r="I566" t="s">
        <v>1775</v>
      </c>
      <c r="J566" t="s">
        <v>1779</v>
      </c>
      <c r="K566">
        <v>3</v>
      </c>
      <c r="L566" s="2">
        <v>1280</v>
      </c>
      <c r="M566">
        <v>0</v>
      </c>
      <c r="N566" s="2">
        <v>822.39</v>
      </c>
      <c r="O566" s="2">
        <v>3840</v>
      </c>
      <c r="P566" s="2">
        <v>2467.17</v>
      </c>
      <c r="Q566" s="2">
        <v>1372.83</v>
      </c>
      <c r="R566">
        <v>0</v>
      </c>
      <c r="S566" s="2" t="str">
        <f>TEXT(data[[#This Row],[Date]],"mmm yyyy")</f>
        <v>Aug 2024</v>
      </c>
      <c r="T566" s="8">
        <f>data[[#This Row],[Profit]]/data[[#This Row],[Revenue]]</f>
        <v>0.35750781249999997</v>
      </c>
    </row>
    <row r="567" spans="1:20" x14ac:dyDescent="0.3">
      <c r="A567">
        <v>10565</v>
      </c>
      <c r="B567" t="s">
        <v>286</v>
      </c>
      <c r="C567" t="s">
        <v>606</v>
      </c>
      <c r="D567" t="s">
        <v>625</v>
      </c>
      <c r="E567" t="s">
        <v>629</v>
      </c>
      <c r="F567" t="s">
        <v>1178</v>
      </c>
      <c r="G567" t="s">
        <v>1763</v>
      </c>
      <c r="H567" t="s">
        <v>1767</v>
      </c>
      <c r="I567" t="s">
        <v>1774</v>
      </c>
      <c r="J567" t="s">
        <v>1777</v>
      </c>
      <c r="K567">
        <v>7</v>
      </c>
      <c r="L567" s="2">
        <v>297</v>
      </c>
      <c r="M567">
        <v>0.15</v>
      </c>
      <c r="N567" s="2">
        <v>154.09</v>
      </c>
      <c r="O567" s="2">
        <v>1767.15</v>
      </c>
      <c r="P567" s="2">
        <v>1078.6300000000001</v>
      </c>
      <c r="Q567" s="2">
        <v>688.52</v>
      </c>
      <c r="R567">
        <v>0</v>
      </c>
      <c r="S567" s="2" t="str">
        <f>TEXT(data[[#This Row],[Date]],"mmm yyyy")</f>
        <v>Jun 2025</v>
      </c>
      <c r="T567" s="8">
        <f>data[[#This Row],[Profit]]/data[[#This Row],[Revenue]]</f>
        <v>0.38962170726876605</v>
      </c>
    </row>
    <row r="568" spans="1:20" x14ac:dyDescent="0.3">
      <c r="A568">
        <v>10566</v>
      </c>
      <c r="B568" t="s">
        <v>412</v>
      </c>
      <c r="C568" t="s">
        <v>608</v>
      </c>
      <c r="D568" t="s">
        <v>618</v>
      </c>
      <c r="E568" t="s">
        <v>626</v>
      </c>
      <c r="F568" t="s">
        <v>1179</v>
      </c>
      <c r="G568" t="s">
        <v>1763</v>
      </c>
      <c r="H568" t="s">
        <v>1771</v>
      </c>
      <c r="I568" t="s">
        <v>1775</v>
      </c>
      <c r="J568" t="s">
        <v>1779</v>
      </c>
      <c r="K568">
        <v>11</v>
      </c>
      <c r="L568" s="2">
        <v>413</v>
      </c>
      <c r="M568">
        <v>0</v>
      </c>
      <c r="N568" s="2">
        <v>247.94</v>
      </c>
      <c r="O568" s="2">
        <v>4543</v>
      </c>
      <c r="P568" s="2">
        <v>2727.34</v>
      </c>
      <c r="Q568" s="2">
        <v>1815.66</v>
      </c>
      <c r="R568">
        <v>0</v>
      </c>
      <c r="S568" s="2" t="str">
        <f>TEXT(data[[#This Row],[Date]],"mmm yyyy")</f>
        <v>Feb 2024</v>
      </c>
      <c r="T568" s="8">
        <f>data[[#This Row],[Profit]]/data[[#This Row],[Revenue]]</f>
        <v>0.39966101694915257</v>
      </c>
    </row>
    <row r="569" spans="1:20" x14ac:dyDescent="0.3">
      <c r="A569">
        <v>10567</v>
      </c>
      <c r="B569" t="s">
        <v>413</v>
      </c>
      <c r="C569" t="s">
        <v>606</v>
      </c>
      <c r="D569" t="s">
        <v>610</v>
      </c>
      <c r="E569" t="s">
        <v>629</v>
      </c>
      <c r="F569" t="s">
        <v>1180</v>
      </c>
      <c r="G569" t="s">
        <v>1760</v>
      </c>
      <c r="H569" t="s">
        <v>1767</v>
      </c>
      <c r="I569" t="s">
        <v>1774</v>
      </c>
      <c r="J569" t="s">
        <v>1779</v>
      </c>
      <c r="K569">
        <v>15</v>
      </c>
      <c r="L569" s="2">
        <v>196</v>
      </c>
      <c r="M569">
        <v>0.1</v>
      </c>
      <c r="N569" s="2">
        <v>117.66</v>
      </c>
      <c r="O569" s="2">
        <v>2646</v>
      </c>
      <c r="P569" s="2">
        <v>1764.9</v>
      </c>
      <c r="Q569" s="2">
        <v>881.1</v>
      </c>
      <c r="R569">
        <v>0</v>
      </c>
      <c r="S569" s="2" t="str">
        <f>TEXT(data[[#This Row],[Date]],"mmm yyyy")</f>
        <v>Apr 2025</v>
      </c>
      <c r="T569" s="8">
        <f>data[[#This Row],[Profit]]/data[[#This Row],[Revenue]]</f>
        <v>0.33299319727891158</v>
      </c>
    </row>
    <row r="570" spans="1:20" x14ac:dyDescent="0.3">
      <c r="A570">
        <v>10568</v>
      </c>
      <c r="B570" t="s">
        <v>414</v>
      </c>
      <c r="C570" t="s">
        <v>608</v>
      </c>
      <c r="D570" t="s">
        <v>618</v>
      </c>
      <c r="E570" t="s">
        <v>629</v>
      </c>
      <c r="F570" t="s">
        <v>1181</v>
      </c>
      <c r="G570" t="s">
        <v>1763</v>
      </c>
      <c r="H570" t="s">
        <v>1772</v>
      </c>
      <c r="I570" t="s">
        <v>1774</v>
      </c>
      <c r="J570" t="s">
        <v>1776</v>
      </c>
      <c r="K570">
        <v>20</v>
      </c>
      <c r="L570" s="2">
        <v>878</v>
      </c>
      <c r="M570">
        <v>0.2</v>
      </c>
      <c r="N570" s="2">
        <v>463.42</v>
      </c>
      <c r="O570" s="2">
        <v>14048</v>
      </c>
      <c r="P570" s="2">
        <v>9268.4</v>
      </c>
      <c r="Q570" s="2">
        <v>4779.6000000000004</v>
      </c>
      <c r="R570">
        <v>0</v>
      </c>
      <c r="S570" s="2" t="str">
        <f>TEXT(data[[#This Row],[Date]],"mmm yyyy")</f>
        <v>Aug 2025</v>
      </c>
      <c r="T570" s="8">
        <f>data[[#This Row],[Profit]]/data[[#This Row],[Revenue]]</f>
        <v>0.3402334851936219</v>
      </c>
    </row>
    <row r="571" spans="1:20" x14ac:dyDescent="0.3">
      <c r="A571">
        <v>10569</v>
      </c>
      <c r="B571" t="s">
        <v>319</v>
      </c>
      <c r="C571" t="s">
        <v>606</v>
      </c>
      <c r="D571" t="s">
        <v>625</v>
      </c>
      <c r="E571" t="s">
        <v>626</v>
      </c>
      <c r="F571" t="s">
        <v>1182</v>
      </c>
      <c r="G571" t="s">
        <v>1766</v>
      </c>
      <c r="H571" t="s">
        <v>1770</v>
      </c>
      <c r="I571" t="s">
        <v>1773</v>
      </c>
      <c r="J571" t="s">
        <v>1776</v>
      </c>
      <c r="K571">
        <v>10</v>
      </c>
      <c r="L571" s="2">
        <v>737</v>
      </c>
      <c r="M571">
        <v>0.05</v>
      </c>
      <c r="N571" s="2">
        <v>400.9</v>
      </c>
      <c r="O571" s="2">
        <v>7001.5</v>
      </c>
      <c r="P571" s="2">
        <v>4009</v>
      </c>
      <c r="Q571" s="2">
        <v>2992.5</v>
      </c>
      <c r="R571">
        <v>0</v>
      </c>
      <c r="S571" s="2" t="str">
        <f>TEXT(data[[#This Row],[Date]],"mmm yyyy")</f>
        <v>Aug 2025</v>
      </c>
      <c r="T571" s="8">
        <f>data[[#This Row],[Profit]]/data[[#This Row],[Revenue]]</f>
        <v>0.42740841248303935</v>
      </c>
    </row>
    <row r="572" spans="1:20" x14ac:dyDescent="0.3">
      <c r="A572">
        <v>10570</v>
      </c>
      <c r="B572" t="s">
        <v>246</v>
      </c>
      <c r="C572" t="s">
        <v>609</v>
      </c>
      <c r="D572" t="s">
        <v>623</v>
      </c>
      <c r="E572" t="s">
        <v>626</v>
      </c>
      <c r="F572" t="s">
        <v>1183</v>
      </c>
      <c r="G572" t="s">
        <v>1762</v>
      </c>
      <c r="H572" t="s">
        <v>1771</v>
      </c>
      <c r="I572" t="s">
        <v>1774</v>
      </c>
      <c r="J572" t="s">
        <v>1778</v>
      </c>
      <c r="K572">
        <v>18</v>
      </c>
      <c r="L572" s="2">
        <v>509</v>
      </c>
      <c r="M572">
        <v>0.1</v>
      </c>
      <c r="N572" s="2">
        <v>376.27</v>
      </c>
      <c r="O572" s="2">
        <v>8245.7999999999993</v>
      </c>
      <c r="P572" s="2">
        <v>6772.86</v>
      </c>
      <c r="Q572" s="2">
        <v>1472.94</v>
      </c>
      <c r="R572">
        <v>0</v>
      </c>
      <c r="S572" s="2" t="str">
        <f>TEXT(data[[#This Row],[Date]],"mmm yyyy")</f>
        <v>Jul 2025</v>
      </c>
      <c r="T572" s="8">
        <f>data[[#This Row],[Profit]]/data[[#This Row],[Revenue]]</f>
        <v>0.17862912027941499</v>
      </c>
    </row>
    <row r="573" spans="1:20" x14ac:dyDescent="0.3">
      <c r="A573">
        <v>10571</v>
      </c>
      <c r="B573" t="s">
        <v>415</v>
      </c>
      <c r="C573" t="s">
        <v>609</v>
      </c>
      <c r="D573" t="s">
        <v>619</v>
      </c>
      <c r="E573" t="s">
        <v>626</v>
      </c>
      <c r="F573" t="s">
        <v>1184</v>
      </c>
      <c r="G573" t="s">
        <v>1760</v>
      </c>
      <c r="H573" t="s">
        <v>1769</v>
      </c>
      <c r="I573" t="s">
        <v>1774</v>
      </c>
      <c r="J573" t="s">
        <v>1776</v>
      </c>
      <c r="K573">
        <v>1</v>
      </c>
      <c r="L573" s="2">
        <v>281</v>
      </c>
      <c r="M573">
        <v>0.1</v>
      </c>
      <c r="N573" s="2">
        <v>169.75</v>
      </c>
      <c r="O573" s="2">
        <v>252.9</v>
      </c>
      <c r="P573" s="2">
        <v>169.75</v>
      </c>
      <c r="Q573" s="2">
        <v>83.15</v>
      </c>
      <c r="R573">
        <v>0</v>
      </c>
      <c r="S573" s="2" t="str">
        <f>TEXT(data[[#This Row],[Date]],"mmm yyyy")</f>
        <v>Sep 2024</v>
      </c>
      <c r="T573" s="8">
        <f>data[[#This Row],[Profit]]/data[[#This Row],[Revenue]]</f>
        <v>0.32878608145512062</v>
      </c>
    </row>
    <row r="574" spans="1:20" x14ac:dyDescent="0.3">
      <c r="A574">
        <v>10572</v>
      </c>
      <c r="B574" t="s">
        <v>39</v>
      </c>
      <c r="C574" t="s">
        <v>608</v>
      </c>
      <c r="D574" t="s">
        <v>615</v>
      </c>
      <c r="E574" t="s">
        <v>627</v>
      </c>
      <c r="F574" t="s">
        <v>1185</v>
      </c>
      <c r="G574" t="s">
        <v>1764</v>
      </c>
      <c r="H574" t="s">
        <v>1768</v>
      </c>
      <c r="I574" t="s">
        <v>1775</v>
      </c>
      <c r="J574" t="s">
        <v>1777</v>
      </c>
      <c r="K574">
        <v>3</v>
      </c>
      <c r="L574" s="2">
        <v>1146</v>
      </c>
      <c r="M574">
        <v>0.2</v>
      </c>
      <c r="N574" s="2">
        <v>772.56</v>
      </c>
      <c r="O574" s="2">
        <v>2750.4</v>
      </c>
      <c r="P574" s="2">
        <v>2317.6799999999998</v>
      </c>
      <c r="Q574" s="2">
        <v>432.72</v>
      </c>
      <c r="R574">
        <v>0</v>
      </c>
      <c r="S574" s="2" t="str">
        <f>TEXT(data[[#This Row],[Date]],"mmm yyyy")</f>
        <v>Apr 2024</v>
      </c>
      <c r="T574" s="8">
        <f>data[[#This Row],[Profit]]/data[[#This Row],[Revenue]]</f>
        <v>0.15732984293193716</v>
      </c>
    </row>
    <row r="575" spans="1:20" x14ac:dyDescent="0.3">
      <c r="A575">
        <v>10573</v>
      </c>
      <c r="B575" t="s">
        <v>140</v>
      </c>
      <c r="C575" t="s">
        <v>608</v>
      </c>
      <c r="D575" t="s">
        <v>612</v>
      </c>
      <c r="E575" t="s">
        <v>626</v>
      </c>
      <c r="F575" t="s">
        <v>814</v>
      </c>
      <c r="G575" t="s">
        <v>1760</v>
      </c>
      <c r="H575" t="s">
        <v>1769</v>
      </c>
      <c r="I575" t="s">
        <v>1773</v>
      </c>
      <c r="J575" t="s">
        <v>1779</v>
      </c>
      <c r="K575">
        <v>16</v>
      </c>
      <c r="L575" s="2">
        <v>324</v>
      </c>
      <c r="M575">
        <v>0.1</v>
      </c>
      <c r="N575" s="2">
        <v>195.12</v>
      </c>
      <c r="O575" s="2">
        <v>4665.6000000000004</v>
      </c>
      <c r="P575" s="2">
        <v>3121.92</v>
      </c>
      <c r="Q575" s="2">
        <v>1543.68</v>
      </c>
      <c r="R575">
        <v>0</v>
      </c>
      <c r="S575" s="2" t="str">
        <f>TEXT(data[[#This Row],[Date]],"mmm yyyy")</f>
        <v>Mar 2024</v>
      </c>
      <c r="T575" s="8">
        <f>data[[#This Row],[Profit]]/data[[#This Row],[Revenue]]</f>
        <v>0.33086419753086421</v>
      </c>
    </row>
    <row r="576" spans="1:20" x14ac:dyDescent="0.3">
      <c r="A576">
        <v>10574</v>
      </c>
      <c r="B576" t="s">
        <v>264</v>
      </c>
      <c r="C576" t="s">
        <v>606</v>
      </c>
      <c r="D576" t="s">
        <v>610</v>
      </c>
      <c r="E576" t="s">
        <v>626</v>
      </c>
      <c r="F576" t="s">
        <v>1186</v>
      </c>
      <c r="G576" t="s">
        <v>1765</v>
      </c>
      <c r="H576" t="s">
        <v>1767</v>
      </c>
      <c r="I576" t="s">
        <v>1773</v>
      </c>
      <c r="J576" t="s">
        <v>1778</v>
      </c>
      <c r="K576">
        <v>19</v>
      </c>
      <c r="L576" s="2">
        <v>185</v>
      </c>
      <c r="M576">
        <v>0.1</v>
      </c>
      <c r="N576" s="2">
        <v>112.34</v>
      </c>
      <c r="O576" s="2">
        <v>3163.5</v>
      </c>
      <c r="P576" s="2">
        <v>2134.46</v>
      </c>
      <c r="Q576" s="2">
        <v>1029.04</v>
      </c>
      <c r="R576">
        <v>0</v>
      </c>
      <c r="S576" s="2" t="str">
        <f>TEXT(data[[#This Row],[Date]],"mmm yyyy")</f>
        <v>Nov 2025</v>
      </c>
      <c r="T576" s="8">
        <f>data[[#This Row],[Profit]]/data[[#This Row],[Revenue]]</f>
        <v>0.32528528528528527</v>
      </c>
    </row>
    <row r="577" spans="1:20" x14ac:dyDescent="0.3">
      <c r="A577">
        <v>10575</v>
      </c>
      <c r="B577" t="s">
        <v>416</v>
      </c>
      <c r="C577" t="s">
        <v>607</v>
      </c>
      <c r="D577" t="s">
        <v>621</v>
      </c>
      <c r="E577" t="s">
        <v>626</v>
      </c>
      <c r="F577" t="s">
        <v>1187</v>
      </c>
      <c r="G577" t="s">
        <v>1762</v>
      </c>
      <c r="H577" t="s">
        <v>1770</v>
      </c>
      <c r="I577" t="s">
        <v>1773</v>
      </c>
      <c r="J577" t="s">
        <v>1777</v>
      </c>
      <c r="K577">
        <v>1</v>
      </c>
      <c r="L577" s="2">
        <v>405</v>
      </c>
      <c r="M577">
        <v>0.2</v>
      </c>
      <c r="N577" s="2">
        <v>288.18</v>
      </c>
      <c r="O577" s="2">
        <v>324</v>
      </c>
      <c r="P577" s="2">
        <v>288.18</v>
      </c>
      <c r="Q577" s="2">
        <v>35.82</v>
      </c>
      <c r="R577">
        <v>0</v>
      </c>
      <c r="S577" s="2" t="str">
        <f>TEXT(data[[#This Row],[Date]],"mmm yyyy")</f>
        <v>Jan 2024</v>
      </c>
      <c r="T577" s="8">
        <f>data[[#This Row],[Profit]]/data[[#This Row],[Revenue]]</f>
        <v>0.11055555555555556</v>
      </c>
    </row>
    <row r="578" spans="1:20" x14ac:dyDescent="0.3">
      <c r="A578">
        <v>10576</v>
      </c>
      <c r="B578" t="s">
        <v>153</v>
      </c>
      <c r="C578" t="s">
        <v>609</v>
      </c>
      <c r="D578" t="s">
        <v>619</v>
      </c>
      <c r="E578" t="s">
        <v>626</v>
      </c>
      <c r="F578" t="s">
        <v>1188</v>
      </c>
      <c r="G578" t="s">
        <v>1763</v>
      </c>
      <c r="H578" t="s">
        <v>1771</v>
      </c>
      <c r="I578" t="s">
        <v>1775</v>
      </c>
      <c r="J578" t="s">
        <v>1779</v>
      </c>
      <c r="K578">
        <v>8</v>
      </c>
      <c r="L578" s="2">
        <v>338</v>
      </c>
      <c r="M578">
        <v>0</v>
      </c>
      <c r="N578" s="2">
        <v>188.45</v>
      </c>
      <c r="O578" s="2">
        <v>2704</v>
      </c>
      <c r="P578" s="2">
        <v>1507.6</v>
      </c>
      <c r="Q578" s="2">
        <v>1196.4000000000001</v>
      </c>
      <c r="R578">
        <v>0</v>
      </c>
      <c r="S578" s="2" t="str">
        <f>TEXT(data[[#This Row],[Date]],"mmm yyyy")</f>
        <v>Mar 2025</v>
      </c>
      <c r="T578" s="8">
        <f>data[[#This Row],[Profit]]/data[[#This Row],[Revenue]]</f>
        <v>0.44245562130177518</v>
      </c>
    </row>
    <row r="579" spans="1:20" x14ac:dyDescent="0.3">
      <c r="A579">
        <v>10577</v>
      </c>
      <c r="B579" t="s">
        <v>73</v>
      </c>
      <c r="C579" t="s">
        <v>608</v>
      </c>
      <c r="D579" t="s">
        <v>615</v>
      </c>
      <c r="E579" t="s">
        <v>626</v>
      </c>
      <c r="F579" t="s">
        <v>1189</v>
      </c>
      <c r="G579" t="s">
        <v>1764</v>
      </c>
      <c r="H579" t="s">
        <v>1767</v>
      </c>
      <c r="I579" t="s">
        <v>1774</v>
      </c>
      <c r="J579" t="s">
        <v>1779</v>
      </c>
      <c r="K579">
        <v>6</v>
      </c>
      <c r="L579" s="2">
        <v>259</v>
      </c>
      <c r="M579">
        <v>0.1</v>
      </c>
      <c r="N579" s="2">
        <v>154.13</v>
      </c>
      <c r="O579" s="2">
        <v>1398.6</v>
      </c>
      <c r="P579" s="2">
        <v>924.78</v>
      </c>
      <c r="Q579" s="2">
        <v>473.82</v>
      </c>
      <c r="R579">
        <v>1</v>
      </c>
      <c r="S579" s="2" t="str">
        <f>TEXT(data[[#This Row],[Date]],"mmm yyyy")</f>
        <v>Jul 2024</v>
      </c>
      <c r="T579" s="8">
        <f>data[[#This Row],[Profit]]/data[[#This Row],[Revenue]]</f>
        <v>0.33878163878163881</v>
      </c>
    </row>
    <row r="580" spans="1:20" x14ac:dyDescent="0.3">
      <c r="A580">
        <v>10578</v>
      </c>
      <c r="B580" t="s">
        <v>284</v>
      </c>
      <c r="C580" t="s">
        <v>609</v>
      </c>
      <c r="D580" t="s">
        <v>622</v>
      </c>
      <c r="E580" t="s">
        <v>628</v>
      </c>
      <c r="F580" t="s">
        <v>1190</v>
      </c>
      <c r="G580" t="s">
        <v>1765</v>
      </c>
      <c r="H580" t="s">
        <v>1770</v>
      </c>
      <c r="I580" t="s">
        <v>1774</v>
      </c>
      <c r="J580" t="s">
        <v>1779</v>
      </c>
      <c r="K580">
        <v>12</v>
      </c>
      <c r="L580" s="2">
        <v>646</v>
      </c>
      <c r="M580">
        <v>0.05</v>
      </c>
      <c r="N580" s="2">
        <v>336.56</v>
      </c>
      <c r="O580" s="2">
        <v>7364.4</v>
      </c>
      <c r="P580" s="2">
        <v>4038.72</v>
      </c>
      <c r="Q580" s="2">
        <v>3325.68</v>
      </c>
      <c r="R580">
        <v>1</v>
      </c>
      <c r="S580" s="2" t="str">
        <f>TEXT(data[[#This Row],[Date]],"mmm yyyy")</f>
        <v>Apr 2025</v>
      </c>
      <c r="T580" s="8">
        <f>data[[#This Row],[Profit]]/data[[#This Row],[Revenue]]</f>
        <v>0.45158872413231221</v>
      </c>
    </row>
    <row r="581" spans="1:20" x14ac:dyDescent="0.3">
      <c r="A581">
        <v>10579</v>
      </c>
      <c r="B581" t="s">
        <v>417</v>
      </c>
      <c r="C581" t="s">
        <v>607</v>
      </c>
      <c r="D581" t="s">
        <v>621</v>
      </c>
      <c r="E581" t="s">
        <v>629</v>
      </c>
      <c r="F581" t="s">
        <v>1191</v>
      </c>
      <c r="G581" t="s">
        <v>1759</v>
      </c>
      <c r="H581" t="s">
        <v>1767</v>
      </c>
      <c r="I581" t="s">
        <v>1773</v>
      </c>
      <c r="J581" t="s">
        <v>1779</v>
      </c>
      <c r="K581">
        <v>18</v>
      </c>
      <c r="L581" s="2">
        <v>153</v>
      </c>
      <c r="M581">
        <v>0</v>
      </c>
      <c r="N581" s="2">
        <v>110.79</v>
      </c>
      <c r="O581" s="2">
        <v>2754</v>
      </c>
      <c r="P581" s="2">
        <v>1994.22</v>
      </c>
      <c r="Q581" s="2">
        <v>759.78</v>
      </c>
      <c r="R581">
        <v>0</v>
      </c>
      <c r="S581" s="2" t="str">
        <f>TEXT(data[[#This Row],[Date]],"mmm yyyy")</f>
        <v>Dec 2024</v>
      </c>
      <c r="T581" s="8">
        <f>data[[#This Row],[Profit]]/data[[#This Row],[Revenue]]</f>
        <v>0.27588235294117647</v>
      </c>
    </row>
    <row r="582" spans="1:20" x14ac:dyDescent="0.3">
      <c r="A582">
        <v>10580</v>
      </c>
      <c r="B582" t="s">
        <v>418</v>
      </c>
      <c r="C582" t="s">
        <v>607</v>
      </c>
      <c r="D582" t="s">
        <v>611</v>
      </c>
      <c r="E582" t="s">
        <v>626</v>
      </c>
      <c r="F582" t="s">
        <v>1192</v>
      </c>
      <c r="G582" t="s">
        <v>1761</v>
      </c>
      <c r="H582" t="s">
        <v>1767</v>
      </c>
      <c r="I582" t="s">
        <v>1775</v>
      </c>
      <c r="J582" t="s">
        <v>1777</v>
      </c>
      <c r="K582">
        <v>5</v>
      </c>
      <c r="L582" s="2">
        <v>217</v>
      </c>
      <c r="M582">
        <v>0.05</v>
      </c>
      <c r="N582" s="2">
        <v>120.86</v>
      </c>
      <c r="O582" s="2">
        <v>1030.75</v>
      </c>
      <c r="P582" s="2">
        <v>604.29999999999995</v>
      </c>
      <c r="Q582" s="2">
        <v>426.45</v>
      </c>
      <c r="R582">
        <v>0</v>
      </c>
      <c r="S582" s="2" t="str">
        <f>TEXT(data[[#This Row],[Date]],"mmm yyyy")</f>
        <v>Mar 2024</v>
      </c>
      <c r="T582" s="8">
        <f>data[[#This Row],[Profit]]/data[[#This Row],[Revenue]]</f>
        <v>0.41372786805723988</v>
      </c>
    </row>
    <row r="583" spans="1:20" x14ac:dyDescent="0.3">
      <c r="A583">
        <v>10581</v>
      </c>
      <c r="B583" t="s">
        <v>365</v>
      </c>
      <c r="C583" t="s">
        <v>607</v>
      </c>
      <c r="D583" t="s">
        <v>611</v>
      </c>
      <c r="E583" t="s">
        <v>626</v>
      </c>
      <c r="F583" t="s">
        <v>1193</v>
      </c>
      <c r="G583" t="s">
        <v>1765</v>
      </c>
      <c r="H583" t="s">
        <v>1768</v>
      </c>
      <c r="I583" t="s">
        <v>1773</v>
      </c>
      <c r="J583" t="s">
        <v>1778</v>
      </c>
      <c r="K583">
        <v>3</v>
      </c>
      <c r="L583" s="2">
        <v>1212</v>
      </c>
      <c r="M583">
        <v>0.2</v>
      </c>
      <c r="N583" s="2">
        <v>617.09</v>
      </c>
      <c r="O583" s="2">
        <v>2908.8</v>
      </c>
      <c r="P583" s="2">
        <v>1851.27</v>
      </c>
      <c r="Q583" s="2">
        <v>1057.53</v>
      </c>
      <c r="R583">
        <v>1</v>
      </c>
      <c r="S583" s="2" t="str">
        <f>TEXT(data[[#This Row],[Date]],"mmm yyyy")</f>
        <v>Jul 2024</v>
      </c>
      <c r="T583" s="8">
        <f>data[[#This Row],[Profit]]/data[[#This Row],[Revenue]]</f>
        <v>0.36356229372937293</v>
      </c>
    </row>
    <row r="584" spans="1:20" x14ac:dyDescent="0.3">
      <c r="A584">
        <v>10582</v>
      </c>
      <c r="B584" t="s">
        <v>242</v>
      </c>
      <c r="C584" t="s">
        <v>607</v>
      </c>
      <c r="D584" t="s">
        <v>617</v>
      </c>
      <c r="E584" t="s">
        <v>626</v>
      </c>
      <c r="F584" t="s">
        <v>1194</v>
      </c>
      <c r="G584" t="s">
        <v>1766</v>
      </c>
      <c r="H584" t="s">
        <v>1771</v>
      </c>
      <c r="I584" t="s">
        <v>1774</v>
      </c>
      <c r="J584" t="s">
        <v>1776</v>
      </c>
      <c r="K584">
        <v>20</v>
      </c>
      <c r="L584" s="2">
        <v>483</v>
      </c>
      <c r="M584">
        <v>0.05</v>
      </c>
      <c r="N584" s="2">
        <v>306.93</v>
      </c>
      <c r="O584" s="2">
        <v>9177</v>
      </c>
      <c r="P584" s="2">
        <v>6138.6</v>
      </c>
      <c r="Q584" s="2">
        <v>3038.4</v>
      </c>
      <c r="R584">
        <v>0</v>
      </c>
      <c r="S584" s="2" t="str">
        <f>TEXT(data[[#This Row],[Date]],"mmm yyyy")</f>
        <v>Jul 2024</v>
      </c>
      <c r="T584" s="8">
        <f>data[[#This Row],[Profit]]/data[[#This Row],[Revenue]]</f>
        <v>0.33108859104282445</v>
      </c>
    </row>
    <row r="585" spans="1:20" x14ac:dyDescent="0.3">
      <c r="A585">
        <v>10583</v>
      </c>
      <c r="B585" t="s">
        <v>419</v>
      </c>
      <c r="C585" t="s">
        <v>609</v>
      </c>
      <c r="D585" t="s">
        <v>623</v>
      </c>
      <c r="E585" t="s">
        <v>629</v>
      </c>
      <c r="F585" t="s">
        <v>1195</v>
      </c>
      <c r="G585" t="s">
        <v>1764</v>
      </c>
      <c r="H585" t="s">
        <v>1768</v>
      </c>
      <c r="I585" t="s">
        <v>1773</v>
      </c>
      <c r="J585" t="s">
        <v>1776</v>
      </c>
      <c r="K585">
        <v>1</v>
      </c>
      <c r="L585" s="2">
        <v>911</v>
      </c>
      <c r="M585">
        <v>0.15</v>
      </c>
      <c r="N585" s="2">
        <v>677.33</v>
      </c>
      <c r="O585" s="2">
        <v>774.35</v>
      </c>
      <c r="P585" s="2">
        <v>677.33</v>
      </c>
      <c r="Q585" s="2">
        <v>97.02</v>
      </c>
      <c r="R585">
        <v>1</v>
      </c>
      <c r="S585" s="2" t="str">
        <f>TEXT(data[[#This Row],[Date]],"mmm yyyy")</f>
        <v>Mar 2025</v>
      </c>
      <c r="T585" s="8">
        <f>data[[#This Row],[Profit]]/data[[#This Row],[Revenue]]</f>
        <v>0.12529218053851618</v>
      </c>
    </row>
    <row r="586" spans="1:20" x14ac:dyDescent="0.3">
      <c r="A586">
        <v>10584</v>
      </c>
      <c r="B586" t="s">
        <v>23</v>
      </c>
      <c r="C586" t="s">
        <v>608</v>
      </c>
      <c r="D586" t="s">
        <v>615</v>
      </c>
      <c r="E586" t="s">
        <v>629</v>
      </c>
      <c r="F586" t="s">
        <v>1196</v>
      </c>
      <c r="G586" t="s">
        <v>1761</v>
      </c>
      <c r="H586" t="s">
        <v>1772</v>
      </c>
      <c r="I586" t="s">
        <v>1773</v>
      </c>
      <c r="J586" t="s">
        <v>1779</v>
      </c>
      <c r="K586">
        <v>9</v>
      </c>
      <c r="L586" s="2">
        <v>1084</v>
      </c>
      <c r="M586">
        <v>0.2</v>
      </c>
      <c r="N586" s="2">
        <v>668.9</v>
      </c>
      <c r="O586" s="2">
        <v>7804.8</v>
      </c>
      <c r="P586" s="2">
        <v>6020.1</v>
      </c>
      <c r="Q586" s="2">
        <v>1784.7</v>
      </c>
      <c r="R586">
        <v>0</v>
      </c>
      <c r="S586" s="2" t="str">
        <f>TEXT(data[[#This Row],[Date]],"mmm yyyy")</f>
        <v>Dec 2024</v>
      </c>
      <c r="T586" s="8">
        <f>data[[#This Row],[Profit]]/data[[#This Row],[Revenue]]</f>
        <v>0.22866697416974169</v>
      </c>
    </row>
    <row r="587" spans="1:20" x14ac:dyDescent="0.3">
      <c r="A587">
        <v>10585</v>
      </c>
      <c r="B587" t="s">
        <v>376</v>
      </c>
      <c r="C587" t="s">
        <v>609</v>
      </c>
      <c r="D587" t="s">
        <v>619</v>
      </c>
      <c r="E587" t="s">
        <v>627</v>
      </c>
      <c r="F587" t="s">
        <v>1197</v>
      </c>
      <c r="G587" t="s">
        <v>1759</v>
      </c>
      <c r="H587" t="s">
        <v>1768</v>
      </c>
      <c r="I587" t="s">
        <v>1773</v>
      </c>
      <c r="J587" t="s">
        <v>1778</v>
      </c>
      <c r="K587">
        <v>3</v>
      </c>
      <c r="L587" s="2">
        <v>1291</v>
      </c>
      <c r="M587">
        <v>0</v>
      </c>
      <c r="N587" s="2">
        <v>732.28</v>
      </c>
      <c r="O587" s="2">
        <v>3873</v>
      </c>
      <c r="P587" s="2">
        <v>2196.84</v>
      </c>
      <c r="Q587" s="2">
        <v>1676.16</v>
      </c>
      <c r="R587">
        <v>1</v>
      </c>
      <c r="S587" s="2" t="str">
        <f>TEXT(data[[#This Row],[Date]],"mmm yyyy")</f>
        <v>Apr 2024</v>
      </c>
      <c r="T587" s="8">
        <f>data[[#This Row],[Profit]]/data[[#This Row],[Revenue]]</f>
        <v>0.43278079008520531</v>
      </c>
    </row>
    <row r="588" spans="1:20" x14ac:dyDescent="0.3">
      <c r="A588">
        <v>10586</v>
      </c>
      <c r="B588" t="s">
        <v>420</v>
      </c>
      <c r="C588" t="s">
        <v>609</v>
      </c>
      <c r="D588" t="s">
        <v>619</v>
      </c>
      <c r="E588" t="s">
        <v>627</v>
      </c>
      <c r="F588" t="s">
        <v>1198</v>
      </c>
      <c r="G588" t="s">
        <v>1759</v>
      </c>
      <c r="H588" t="s">
        <v>1770</v>
      </c>
      <c r="I588" t="s">
        <v>1773</v>
      </c>
      <c r="J588" t="s">
        <v>1778</v>
      </c>
      <c r="K588">
        <v>19</v>
      </c>
      <c r="L588" s="2">
        <v>981</v>
      </c>
      <c r="M588">
        <v>0.05</v>
      </c>
      <c r="N588" s="2">
        <v>732.55</v>
      </c>
      <c r="O588" s="2">
        <v>17707.05</v>
      </c>
      <c r="P588" s="2">
        <v>13918.45</v>
      </c>
      <c r="Q588" s="2">
        <v>3788.6</v>
      </c>
      <c r="R588">
        <v>0</v>
      </c>
      <c r="S588" s="2" t="str">
        <f>TEXT(data[[#This Row],[Date]],"mmm yyyy")</f>
        <v>Mar 2024</v>
      </c>
      <c r="T588" s="8">
        <f>data[[#This Row],[Profit]]/data[[#This Row],[Revenue]]</f>
        <v>0.21395997639358336</v>
      </c>
    </row>
    <row r="589" spans="1:20" x14ac:dyDescent="0.3">
      <c r="A589">
        <v>10587</v>
      </c>
      <c r="B589" t="s">
        <v>318</v>
      </c>
      <c r="C589" t="s">
        <v>606</v>
      </c>
      <c r="D589" t="s">
        <v>616</v>
      </c>
      <c r="E589" t="s">
        <v>629</v>
      </c>
      <c r="F589" t="s">
        <v>1199</v>
      </c>
      <c r="G589" t="s">
        <v>1760</v>
      </c>
      <c r="H589" t="s">
        <v>1768</v>
      </c>
      <c r="I589" t="s">
        <v>1773</v>
      </c>
      <c r="J589" t="s">
        <v>1778</v>
      </c>
      <c r="K589">
        <v>14</v>
      </c>
      <c r="L589" s="2">
        <v>1154</v>
      </c>
      <c r="M589">
        <v>0.05</v>
      </c>
      <c r="N589" s="2">
        <v>721.36</v>
      </c>
      <c r="O589" s="2">
        <v>15348.2</v>
      </c>
      <c r="P589" s="2">
        <v>10099.040000000001</v>
      </c>
      <c r="Q589" s="2">
        <v>5249.16</v>
      </c>
      <c r="R589">
        <v>1</v>
      </c>
      <c r="S589" s="2" t="str">
        <f>TEXT(data[[#This Row],[Date]],"mmm yyyy")</f>
        <v>Jul 2024</v>
      </c>
      <c r="T589" s="8">
        <f>data[[#This Row],[Profit]]/data[[#This Row],[Revenue]]</f>
        <v>0.3420049256590349</v>
      </c>
    </row>
    <row r="590" spans="1:20" x14ac:dyDescent="0.3">
      <c r="A590">
        <v>10588</v>
      </c>
      <c r="B590" t="s">
        <v>421</v>
      </c>
      <c r="C590" t="s">
        <v>607</v>
      </c>
      <c r="D590" t="s">
        <v>621</v>
      </c>
      <c r="E590" t="s">
        <v>627</v>
      </c>
      <c r="F590" t="s">
        <v>1200</v>
      </c>
      <c r="G590" t="s">
        <v>1763</v>
      </c>
      <c r="H590" t="s">
        <v>1770</v>
      </c>
      <c r="I590" t="s">
        <v>1773</v>
      </c>
      <c r="J590" t="s">
        <v>1776</v>
      </c>
      <c r="K590">
        <v>8</v>
      </c>
      <c r="L590" s="2">
        <v>861</v>
      </c>
      <c r="M590">
        <v>0.1</v>
      </c>
      <c r="N590" s="2">
        <v>439.34</v>
      </c>
      <c r="O590" s="2">
        <v>6199.2</v>
      </c>
      <c r="P590" s="2">
        <v>3514.72</v>
      </c>
      <c r="Q590" s="2">
        <v>2684.48</v>
      </c>
      <c r="R590">
        <v>0</v>
      </c>
      <c r="S590" s="2" t="str">
        <f>TEXT(data[[#This Row],[Date]],"mmm yyyy")</f>
        <v>Feb 2025</v>
      </c>
      <c r="T590" s="8">
        <f>data[[#This Row],[Profit]]/data[[#This Row],[Revenue]]</f>
        <v>0.43303652084139893</v>
      </c>
    </row>
    <row r="591" spans="1:20" x14ac:dyDescent="0.3">
      <c r="A591">
        <v>10589</v>
      </c>
      <c r="B591" t="s">
        <v>422</v>
      </c>
      <c r="C591" t="s">
        <v>609</v>
      </c>
      <c r="D591" t="s">
        <v>622</v>
      </c>
      <c r="E591" t="s">
        <v>626</v>
      </c>
      <c r="F591" t="s">
        <v>1201</v>
      </c>
      <c r="G591" t="s">
        <v>1760</v>
      </c>
      <c r="H591" t="s">
        <v>1772</v>
      </c>
      <c r="I591" t="s">
        <v>1774</v>
      </c>
      <c r="J591" t="s">
        <v>1777</v>
      </c>
      <c r="K591">
        <v>4</v>
      </c>
      <c r="L591" s="2">
        <v>1054</v>
      </c>
      <c r="M591">
        <v>0.15</v>
      </c>
      <c r="N591" s="2">
        <v>539.84</v>
      </c>
      <c r="O591" s="2">
        <v>3583.6</v>
      </c>
      <c r="P591" s="2">
        <v>2159.36</v>
      </c>
      <c r="Q591" s="2">
        <v>1424.24</v>
      </c>
      <c r="R591">
        <v>0</v>
      </c>
      <c r="S591" s="2" t="str">
        <f>TEXT(data[[#This Row],[Date]],"mmm yyyy")</f>
        <v>Dec 2025</v>
      </c>
      <c r="T591" s="8">
        <f>data[[#This Row],[Profit]]/data[[#This Row],[Revenue]]</f>
        <v>0.39743274919075788</v>
      </c>
    </row>
    <row r="592" spans="1:20" x14ac:dyDescent="0.3">
      <c r="A592">
        <v>10590</v>
      </c>
      <c r="B592" t="s">
        <v>357</v>
      </c>
      <c r="C592" t="s">
        <v>608</v>
      </c>
      <c r="D592" t="s">
        <v>615</v>
      </c>
      <c r="E592" t="s">
        <v>628</v>
      </c>
      <c r="F592" t="s">
        <v>1202</v>
      </c>
      <c r="G592" t="s">
        <v>1764</v>
      </c>
      <c r="H592" t="s">
        <v>1767</v>
      </c>
      <c r="I592" t="s">
        <v>1775</v>
      </c>
      <c r="J592" t="s">
        <v>1779</v>
      </c>
      <c r="K592">
        <v>9</v>
      </c>
      <c r="L592" s="2">
        <v>141</v>
      </c>
      <c r="M592">
        <v>0.1</v>
      </c>
      <c r="N592" s="2">
        <v>75.739999999999995</v>
      </c>
      <c r="O592" s="2">
        <v>1142.0999999999999</v>
      </c>
      <c r="P592" s="2">
        <v>681.66</v>
      </c>
      <c r="Q592" s="2">
        <v>460.44</v>
      </c>
      <c r="R592">
        <v>0</v>
      </c>
      <c r="S592" s="2" t="str">
        <f>TEXT(data[[#This Row],[Date]],"mmm yyyy")</f>
        <v>Oct 2025</v>
      </c>
      <c r="T592" s="8">
        <f>data[[#This Row],[Profit]]/data[[#This Row],[Revenue]]</f>
        <v>0.40315208825847126</v>
      </c>
    </row>
    <row r="593" spans="1:20" x14ac:dyDescent="0.3">
      <c r="A593">
        <v>10591</v>
      </c>
      <c r="B593" t="s">
        <v>423</v>
      </c>
      <c r="C593" t="s">
        <v>609</v>
      </c>
      <c r="D593" t="s">
        <v>623</v>
      </c>
      <c r="E593" t="s">
        <v>626</v>
      </c>
      <c r="F593" t="s">
        <v>1203</v>
      </c>
      <c r="G593" t="s">
        <v>1765</v>
      </c>
      <c r="H593" t="s">
        <v>1771</v>
      </c>
      <c r="I593" t="s">
        <v>1773</v>
      </c>
      <c r="J593" t="s">
        <v>1776</v>
      </c>
      <c r="K593">
        <v>8</v>
      </c>
      <c r="L593" s="2">
        <v>576</v>
      </c>
      <c r="M593">
        <v>0.15</v>
      </c>
      <c r="N593" s="2">
        <v>331.43</v>
      </c>
      <c r="O593" s="2">
        <v>3916.8</v>
      </c>
      <c r="P593" s="2">
        <v>2651.44</v>
      </c>
      <c r="Q593" s="2">
        <v>1265.3599999999999</v>
      </c>
      <c r="R593">
        <v>0</v>
      </c>
      <c r="S593" s="2" t="str">
        <f>TEXT(data[[#This Row],[Date]],"mmm yyyy")</f>
        <v>Oct 2025</v>
      </c>
      <c r="T593" s="8">
        <f>data[[#This Row],[Profit]]/data[[#This Row],[Revenue]]</f>
        <v>0.32305964052287578</v>
      </c>
    </row>
    <row r="594" spans="1:20" x14ac:dyDescent="0.3">
      <c r="A594">
        <v>10592</v>
      </c>
      <c r="B594" t="s">
        <v>18</v>
      </c>
      <c r="C594" t="s">
        <v>608</v>
      </c>
      <c r="D594" t="s">
        <v>618</v>
      </c>
      <c r="E594" t="s">
        <v>628</v>
      </c>
      <c r="F594" t="s">
        <v>669</v>
      </c>
      <c r="G594" t="s">
        <v>1764</v>
      </c>
      <c r="H594" t="s">
        <v>1768</v>
      </c>
      <c r="I594" t="s">
        <v>1773</v>
      </c>
      <c r="J594" t="s">
        <v>1778</v>
      </c>
      <c r="K594">
        <v>16</v>
      </c>
      <c r="L594" s="2">
        <v>964</v>
      </c>
      <c r="M594">
        <v>0.05</v>
      </c>
      <c r="N594" s="2">
        <v>483.47</v>
      </c>
      <c r="O594" s="2">
        <v>14652.8</v>
      </c>
      <c r="P594" s="2">
        <v>7735.52</v>
      </c>
      <c r="Q594" s="2">
        <v>6917.28</v>
      </c>
      <c r="R594">
        <v>0</v>
      </c>
      <c r="S594" s="2" t="str">
        <f>TEXT(data[[#This Row],[Date]],"mmm yyyy")</f>
        <v>Jan 2025</v>
      </c>
      <c r="T594" s="8">
        <f>data[[#This Row],[Profit]]/data[[#This Row],[Revenue]]</f>
        <v>0.47207905656256827</v>
      </c>
    </row>
    <row r="595" spans="1:20" x14ac:dyDescent="0.3">
      <c r="A595">
        <v>10593</v>
      </c>
      <c r="B595" t="s">
        <v>424</v>
      </c>
      <c r="C595" t="s">
        <v>608</v>
      </c>
      <c r="D595" t="s">
        <v>612</v>
      </c>
      <c r="E595" t="s">
        <v>629</v>
      </c>
      <c r="F595" t="s">
        <v>1204</v>
      </c>
      <c r="G595" t="s">
        <v>1760</v>
      </c>
      <c r="H595" t="s">
        <v>1771</v>
      </c>
      <c r="I595" t="s">
        <v>1774</v>
      </c>
      <c r="J595" t="s">
        <v>1777</v>
      </c>
      <c r="K595">
        <v>9</v>
      </c>
      <c r="L595" s="2">
        <v>512</v>
      </c>
      <c r="M595">
        <v>0.1</v>
      </c>
      <c r="N595" s="2">
        <v>297.83</v>
      </c>
      <c r="O595" s="2">
        <v>4147.2</v>
      </c>
      <c r="P595" s="2">
        <v>2680.47</v>
      </c>
      <c r="Q595" s="2">
        <v>1466.73</v>
      </c>
      <c r="R595">
        <v>0</v>
      </c>
      <c r="S595" s="2" t="str">
        <f>TEXT(data[[#This Row],[Date]],"mmm yyyy")</f>
        <v>Jan 2024</v>
      </c>
      <c r="T595" s="8">
        <f>data[[#This Row],[Profit]]/data[[#This Row],[Revenue]]</f>
        <v>0.35366753472222223</v>
      </c>
    </row>
    <row r="596" spans="1:20" x14ac:dyDescent="0.3">
      <c r="A596">
        <v>10594</v>
      </c>
      <c r="B596" t="s">
        <v>425</v>
      </c>
      <c r="C596" t="s">
        <v>609</v>
      </c>
      <c r="D596" t="s">
        <v>619</v>
      </c>
      <c r="E596" t="s">
        <v>628</v>
      </c>
      <c r="F596" t="s">
        <v>1205</v>
      </c>
      <c r="G596" t="s">
        <v>1760</v>
      </c>
      <c r="H596" t="s">
        <v>1767</v>
      </c>
      <c r="I596" t="s">
        <v>1775</v>
      </c>
      <c r="J596" t="s">
        <v>1777</v>
      </c>
      <c r="K596">
        <v>7</v>
      </c>
      <c r="L596" s="2">
        <v>248</v>
      </c>
      <c r="M596">
        <v>0.15</v>
      </c>
      <c r="N596" s="2">
        <v>179.27</v>
      </c>
      <c r="O596" s="2">
        <v>1475.6</v>
      </c>
      <c r="P596" s="2">
        <v>1254.8900000000001</v>
      </c>
      <c r="Q596" s="2">
        <v>220.71</v>
      </c>
      <c r="R596">
        <v>0</v>
      </c>
      <c r="S596" s="2" t="str">
        <f>TEXT(data[[#This Row],[Date]],"mmm yyyy")</f>
        <v>May 2025</v>
      </c>
      <c r="T596" s="8">
        <f>data[[#This Row],[Profit]]/data[[#This Row],[Revenue]]</f>
        <v>0.14957305502846302</v>
      </c>
    </row>
    <row r="597" spans="1:20" x14ac:dyDescent="0.3">
      <c r="A597">
        <v>10595</v>
      </c>
      <c r="B597" t="s">
        <v>426</v>
      </c>
      <c r="C597" t="s">
        <v>608</v>
      </c>
      <c r="D597" t="s">
        <v>615</v>
      </c>
      <c r="E597" t="s">
        <v>626</v>
      </c>
      <c r="F597" t="s">
        <v>1206</v>
      </c>
      <c r="G597" t="s">
        <v>1764</v>
      </c>
      <c r="H597" t="s">
        <v>1769</v>
      </c>
      <c r="I597" t="s">
        <v>1775</v>
      </c>
      <c r="J597" t="s">
        <v>1776</v>
      </c>
      <c r="K597">
        <v>1</v>
      </c>
      <c r="L597" s="2">
        <v>185</v>
      </c>
      <c r="M597">
        <v>0.05</v>
      </c>
      <c r="N597" s="2">
        <v>131.24</v>
      </c>
      <c r="O597" s="2">
        <v>175.75</v>
      </c>
      <c r="P597" s="2">
        <v>131.24</v>
      </c>
      <c r="Q597" s="2">
        <v>44.51</v>
      </c>
      <c r="R597">
        <v>0</v>
      </c>
      <c r="S597" s="2" t="str">
        <f>TEXT(data[[#This Row],[Date]],"mmm yyyy")</f>
        <v>Mar 2024</v>
      </c>
      <c r="T597" s="8">
        <f>data[[#This Row],[Profit]]/data[[#This Row],[Revenue]]</f>
        <v>0.25325746799431009</v>
      </c>
    </row>
    <row r="598" spans="1:20" x14ac:dyDescent="0.3">
      <c r="A598">
        <v>10596</v>
      </c>
      <c r="B598" t="s">
        <v>427</v>
      </c>
      <c r="C598" t="s">
        <v>608</v>
      </c>
      <c r="D598" t="s">
        <v>615</v>
      </c>
      <c r="E598" t="s">
        <v>629</v>
      </c>
      <c r="F598" t="s">
        <v>1207</v>
      </c>
      <c r="G598" t="s">
        <v>1763</v>
      </c>
      <c r="H598" t="s">
        <v>1772</v>
      </c>
      <c r="I598" t="s">
        <v>1773</v>
      </c>
      <c r="J598" t="s">
        <v>1779</v>
      </c>
      <c r="K598">
        <v>9</v>
      </c>
      <c r="L598" s="2">
        <v>702</v>
      </c>
      <c r="M598">
        <v>0.15</v>
      </c>
      <c r="N598" s="2">
        <v>451.77</v>
      </c>
      <c r="O598" s="2">
        <v>5370.3</v>
      </c>
      <c r="P598" s="2">
        <v>4065.93</v>
      </c>
      <c r="Q598" s="2">
        <v>1304.3699999999999</v>
      </c>
      <c r="R598">
        <v>1</v>
      </c>
      <c r="S598" s="2" t="str">
        <f>TEXT(data[[#This Row],[Date]],"mmm yyyy")</f>
        <v>Aug 2024</v>
      </c>
      <c r="T598" s="8">
        <f>data[[#This Row],[Profit]]/data[[#This Row],[Revenue]]</f>
        <v>0.24288587229763697</v>
      </c>
    </row>
    <row r="599" spans="1:20" x14ac:dyDescent="0.3">
      <c r="A599">
        <v>10597</v>
      </c>
      <c r="B599" t="s">
        <v>428</v>
      </c>
      <c r="C599" t="s">
        <v>608</v>
      </c>
      <c r="D599" t="s">
        <v>618</v>
      </c>
      <c r="E599" t="s">
        <v>627</v>
      </c>
      <c r="F599" t="s">
        <v>1208</v>
      </c>
      <c r="G599" t="s">
        <v>1759</v>
      </c>
      <c r="H599" t="s">
        <v>1771</v>
      </c>
      <c r="I599" t="s">
        <v>1773</v>
      </c>
      <c r="J599" t="s">
        <v>1777</v>
      </c>
      <c r="K599">
        <v>5</v>
      </c>
      <c r="L599" s="2">
        <v>442</v>
      </c>
      <c r="M599">
        <v>0.05</v>
      </c>
      <c r="N599" s="2">
        <v>278.98</v>
      </c>
      <c r="O599" s="2">
        <v>2099.5</v>
      </c>
      <c r="P599" s="2">
        <v>1394.9</v>
      </c>
      <c r="Q599" s="2">
        <v>704.6</v>
      </c>
      <c r="R599">
        <v>0</v>
      </c>
      <c r="S599" s="2" t="str">
        <f>TEXT(data[[#This Row],[Date]],"mmm yyyy")</f>
        <v>May 2025</v>
      </c>
      <c r="T599" s="8">
        <f>data[[#This Row],[Profit]]/data[[#This Row],[Revenue]]</f>
        <v>0.33560371517027865</v>
      </c>
    </row>
    <row r="600" spans="1:20" x14ac:dyDescent="0.3">
      <c r="A600">
        <v>10598</v>
      </c>
      <c r="B600" t="s">
        <v>429</v>
      </c>
      <c r="C600" t="s">
        <v>607</v>
      </c>
      <c r="D600" t="s">
        <v>624</v>
      </c>
      <c r="E600" t="s">
        <v>626</v>
      </c>
      <c r="F600" t="s">
        <v>1209</v>
      </c>
      <c r="G600" t="s">
        <v>1761</v>
      </c>
      <c r="H600" t="s">
        <v>1767</v>
      </c>
      <c r="I600" t="s">
        <v>1774</v>
      </c>
      <c r="J600" t="s">
        <v>1776</v>
      </c>
      <c r="K600">
        <v>11</v>
      </c>
      <c r="L600" s="2">
        <v>169</v>
      </c>
      <c r="M600">
        <v>0</v>
      </c>
      <c r="N600" s="2">
        <v>125.8</v>
      </c>
      <c r="O600" s="2">
        <v>1859</v>
      </c>
      <c r="P600" s="2">
        <v>1383.8</v>
      </c>
      <c r="Q600" s="2">
        <v>475.2</v>
      </c>
      <c r="R600">
        <v>0</v>
      </c>
      <c r="S600" s="2" t="str">
        <f>TEXT(data[[#This Row],[Date]],"mmm yyyy")</f>
        <v>Aug 2025</v>
      </c>
      <c r="T600" s="8">
        <f>data[[#This Row],[Profit]]/data[[#This Row],[Revenue]]</f>
        <v>0.25562130177514791</v>
      </c>
    </row>
    <row r="601" spans="1:20" x14ac:dyDescent="0.3">
      <c r="A601">
        <v>10599</v>
      </c>
      <c r="B601" t="s">
        <v>160</v>
      </c>
      <c r="C601" t="s">
        <v>609</v>
      </c>
      <c r="D601" t="s">
        <v>623</v>
      </c>
      <c r="E601" t="s">
        <v>628</v>
      </c>
      <c r="F601" t="s">
        <v>1210</v>
      </c>
      <c r="G601" t="s">
        <v>1765</v>
      </c>
      <c r="H601" t="s">
        <v>1771</v>
      </c>
      <c r="I601" t="s">
        <v>1774</v>
      </c>
      <c r="J601" t="s">
        <v>1776</v>
      </c>
      <c r="K601">
        <v>14</v>
      </c>
      <c r="L601" s="2">
        <v>601</v>
      </c>
      <c r="M601">
        <v>0.2</v>
      </c>
      <c r="N601" s="2">
        <v>445.29</v>
      </c>
      <c r="O601" s="2">
        <v>6731.2</v>
      </c>
      <c r="P601" s="2">
        <v>6234.06</v>
      </c>
      <c r="Q601" s="2">
        <v>497.14</v>
      </c>
      <c r="R601">
        <v>0</v>
      </c>
      <c r="S601" s="2" t="str">
        <f>TEXT(data[[#This Row],[Date]],"mmm yyyy")</f>
        <v>Feb 2025</v>
      </c>
      <c r="T601" s="8">
        <f>data[[#This Row],[Profit]]/data[[#This Row],[Revenue]]</f>
        <v>7.3856073211314474E-2</v>
      </c>
    </row>
    <row r="602" spans="1:20" x14ac:dyDescent="0.3">
      <c r="A602">
        <v>10600</v>
      </c>
      <c r="B602" t="s">
        <v>184</v>
      </c>
      <c r="C602" t="s">
        <v>606</v>
      </c>
      <c r="D602" t="s">
        <v>610</v>
      </c>
      <c r="E602" t="s">
        <v>628</v>
      </c>
      <c r="F602" t="s">
        <v>1211</v>
      </c>
      <c r="G602" t="s">
        <v>1761</v>
      </c>
      <c r="H602" t="s">
        <v>1771</v>
      </c>
      <c r="I602" t="s">
        <v>1775</v>
      </c>
      <c r="J602" t="s">
        <v>1779</v>
      </c>
      <c r="K602">
        <v>19</v>
      </c>
      <c r="L602" s="2">
        <v>384</v>
      </c>
      <c r="M602">
        <v>0.15</v>
      </c>
      <c r="N602" s="2">
        <v>234.19</v>
      </c>
      <c r="O602" s="2">
        <v>6201.6</v>
      </c>
      <c r="P602" s="2">
        <v>4449.6099999999997</v>
      </c>
      <c r="Q602" s="2">
        <v>1751.99</v>
      </c>
      <c r="R602">
        <v>0</v>
      </c>
      <c r="S602" s="2" t="str">
        <f>TEXT(data[[#This Row],[Date]],"mmm yyyy")</f>
        <v>Mar 2025</v>
      </c>
      <c r="T602" s="8">
        <f>data[[#This Row],[Profit]]/data[[#This Row],[Revenue]]</f>
        <v>0.28250612745098036</v>
      </c>
    </row>
    <row r="603" spans="1:20" x14ac:dyDescent="0.3">
      <c r="A603">
        <v>10601</v>
      </c>
      <c r="B603" t="s">
        <v>430</v>
      </c>
      <c r="C603" t="s">
        <v>607</v>
      </c>
      <c r="D603" t="s">
        <v>617</v>
      </c>
      <c r="E603" t="s">
        <v>626</v>
      </c>
      <c r="F603" t="s">
        <v>1212</v>
      </c>
      <c r="G603" t="s">
        <v>1764</v>
      </c>
      <c r="H603" t="s">
        <v>1770</v>
      </c>
      <c r="I603" t="s">
        <v>1775</v>
      </c>
      <c r="J603" t="s">
        <v>1776</v>
      </c>
      <c r="K603">
        <v>14</v>
      </c>
      <c r="L603" s="2">
        <v>708</v>
      </c>
      <c r="M603">
        <v>0.1</v>
      </c>
      <c r="N603" s="2">
        <v>479.7</v>
      </c>
      <c r="O603" s="2">
        <v>8920.7999999999993</v>
      </c>
      <c r="P603" s="2">
        <v>6715.8</v>
      </c>
      <c r="Q603" s="2">
        <v>2205</v>
      </c>
      <c r="R603">
        <v>1</v>
      </c>
      <c r="S603" s="2" t="str">
        <f>TEXT(data[[#This Row],[Date]],"mmm yyyy")</f>
        <v>Dec 2025</v>
      </c>
      <c r="T603" s="8">
        <f>data[[#This Row],[Profit]]/data[[#This Row],[Revenue]]</f>
        <v>0.24717514124293788</v>
      </c>
    </row>
    <row r="604" spans="1:20" x14ac:dyDescent="0.3">
      <c r="A604">
        <v>10602</v>
      </c>
      <c r="B604" t="s">
        <v>431</v>
      </c>
      <c r="C604" t="s">
        <v>607</v>
      </c>
      <c r="D604" t="s">
        <v>621</v>
      </c>
      <c r="E604" t="s">
        <v>627</v>
      </c>
      <c r="F604" t="s">
        <v>1213</v>
      </c>
      <c r="G604" t="s">
        <v>1764</v>
      </c>
      <c r="H604" t="s">
        <v>1769</v>
      </c>
      <c r="I604" t="s">
        <v>1775</v>
      </c>
      <c r="J604" t="s">
        <v>1779</v>
      </c>
      <c r="K604">
        <v>10</v>
      </c>
      <c r="L604" s="2">
        <v>307</v>
      </c>
      <c r="M604">
        <v>0</v>
      </c>
      <c r="N604" s="2">
        <v>191.06</v>
      </c>
      <c r="O604" s="2">
        <v>3070</v>
      </c>
      <c r="P604" s="2">
        <v>1910.6</v>
      </c>
      <c r="Q604" s="2">
        <v>1159.4000000000001</v>
      </c>
      <c r="R604">
        <v>0</v>
      </c>
      <c r="S604" s="2" t="str">
        <f>TEXT(data[[#This Row],[Date]],"mmm yyyy")</f>
        <v>Mar 2024</v>
      </c>
      <c r="T604" s="8">
        <f>data[[#This Row],[Profit]]/data[[#This Row],[Revenue]]</f>
        <v>0.37765472312703585</v>
      </c>
    </row>
    <row r="605" spans="1:20" x14ac:dyDescent="0.3">
      <c r="A605">
        <v>10603</v>
      </c>
      <c r="B605" t="s">
        <v>398</v>
      </c>
      <c r="C605" t="s">
        <v>606</v>
      </c>
      <c r="D605" t="s">
        <v>625</v>
      </c>
      <c r="E605" t="s">
        <v>629</v>
      </c>
      <c r="F605" t="s">
        <v>1214</v>
      </c>
      <c r="G605" t="s">
        <v>1766</v>
      </c>
      <c r="H605" t="s">
        <v>1767</v>
      </c>
      <c r="I605" t="s">
        <v>1775</v>
      </c>
      <c r="J605" t="s">
        <v>1778</v>
      </c>
      <c r="K605">
        <v>5</v>
      </c>
      <c r="L605" s="2">
        <v>238</v>
      </c>
      <c r="M605">
        <v>0.15</v>
      </c>
      <c r="N605" s="2">
        <v>120.1</v>
      </c>
      <c r="O605" s="2">
        <v>1011.5</v>
      </c>
      <c r="P605" s="2">
        <v>600.5</v>
      </c>
      <c r="Q605" s="2">
        <v>411</v>
      </c>
      <c r="R605">
        <v>0</v>
      </c>
      <c r="S605" s="2" t="str">
        <f>TEXT(data[[#This Row],[Date]],"mmm yyyy")</f>
        <v>Jan 2025</v>
      </c>
      <c r="T605" s="8">
        <f>data[[#This Row],[Profit]]/data[[#This Row],[Revenue]]</f>
        <v>0.40632723677706378</v>
      </c>
    </row>
    <row r="606" spans="1:20" x14ac:dyDescent="0.3">
      <c r="A606">
        <v>10604</v>
      </c>
      <c r="B606" t="s">
        <v>162</v>
      </c>
      <c r="C606" t="s">
        <v>607</v>
      </c>
      <c r="D606" t="s">
        <v>611</v>
      </c>
      <c r="E606" t="s">
        <v>628</v>
      </c>
      <c r="F606" t="s">
        <v>1215</v>
      </c>
      <c r="G606" t="s">
        <v>1763</v>
      </c>
      <c r="H606" t="s">
        <v>1769</v>
      </c>
      <c r="I606" t="s">
        <v>1773</v>
      </c>
      <c r="J606" t="s">
        <v>1779</v>
      </c>
      <c r="K606">
        <v>5</v>
      </c>
      <c r="L606" s="2">
        <v>152</v>
      </c>
      <c r="M606">
        <v>0.05</v>
      </c>
      <c r="N606" s="2">
        <v>112.71</v>
      </c>
      <c r="O606" s="2">
        <v>722</v>
      </c>
      <c r="P606" s="2">
        <v>563.54999999999995</v>
      </c>
      <c r="Q606" s="2">
        <v>158.44999999999999</v>
      </c>
      <c r="R606">
        <v>0</v>
      </c>
      <c r="S606" s="2" t="str">
        <f>TEXT(data[[#This Row],[Date]],"mmm yyyy")</f>
        <v>Aug 2024</v>
      </c>
      <c r="T606" s="8">
        <f>data[[#This Row],[Profit]]/data[[#This Row],[Revenue]]</f>
        <v>0.21945983379501383</v>
      </c>
    </row>
    <row r="607" spans="1:20" x14ac:dyDescent="0.3">
      <c r="A607">
        <v>10605</v>
      </c>
      <c r="B607" t="s">
        <v>379</v>
      </c>
      <c r="C607" t="s">
        <v>609</v>
      </c>
      <c r="D607" t="s">
        <v>613</v>
      </c>
      <c r="E607" t="s">
        <v>629</v>
      </c>
      <c r="F607" t="s">
        <v>1216</v>
      </c>
      <c r="G607" t="s">
        <v>1764</v>
      </c>
      <c r="H607" t="s">
        <v>1772</v>
      </c>
      <c r="I607" t="s">
        <v>1775</v>
      </c>
      <c r="J607" t="s">
        <v>1779</v>
      </c>
      <c r="K607">
        <v>5</v>
      </c>
      <c r="L607" s="2">
        <v>536</v>
      </c>
      <c r="M607">
        <v>0.2</v>
      </c>
      <c r="N607" s="2">
        <v>401.98</v>
      </c>
      <c r="O607" s="2">
        <v>2144</v>
      </c>
      <c r="P607" s="2">
        <v>2009.9</v>
      </c>
      <c r="Q607" s="2">
        <v>134.1</v>
      </c>
      <c r="R607">
        <v>0</v>
      </c>
      <c r="S607" s="2" t="str">
        <f>TEXT(data[[#This Row],[Date]],"mmm yyyy")</f>
        <v>Nov 2024</v>
      </c>
      <c r="T607" s="8">
        <f>data[[#This Row],[Profit]]/data[[#This Row],[Revenue]]</f>
        <v>6.2546641791044771E-2</v>
      </c>
    </row>
    <row r="608" spans="1:20" x14ac:dyDescent="0.3">
      <c r="A608">
        <v>10606</v>
      </c>
      <c r="B608" t="s">
        <v>174</v>
      </c>
      <c r="C608" t="s">
        <v>606</v>
      </c>
      <c r="D608" t="s">
        <v>610</v>
      </c>
      <c r="E608" t="s">
        <v>626</v>
      </c>
      <c r="F608" t="s">
        <v>1217</v>
      </c>
      <c r="G608" t="s">
        <v>1764</v>
      </c>
      <c r="H608" t="s">
        <v>1772</v>
      </c>
      <c r="I608" t="s">
        <v>1773</v>
      </c>
      <c r="J608" t="s">
        <v>1779</v>
      </c>
      <c r="K608">
        <v>8</v>
      </c>
      <c r="L608" s="2">
        <v>1028</v>
      </c>
      <c r="M608">
        <v>0.05</v>
      </c>
      <c r="N608" s="2">
        <v>638.52</v>
      </c>
      <c r="O608" s="2">
        <v>7812.8</v>
      </c>
      <c r="P608" s="2">
        <v>5108.16</v>
      </c>
      <c r="Q608" s="2">
        <v>2704.64</v>
      </c>
      <c r="R608">
        <v>0</v>
      </c>
      <c r="S608" s="2" t="str">
        <f>TEXT(data[[#This Row],[Date]],"mmm yyyy")</f>
        <v>May 2025</v>
      </c>
      <c r="T608" s="8">
        <f>data[[#This Row],[Profit]]/data[[#This Row],[Revenue]]</f>
        <v>0.34618062666393606</v>
      </c>
    </row>
    <row r="609" spans="1:20" x14ac:dyDescent="0.3">
      <c r="A609">
        <v>10607</v>
      </c>
      <c r="B609" t="s">
        <v>383</v>
      </c>
      <c r="C609" t="s">
        <v>606</v>
      </c>
      <c r="D609" t="s">
        <v>620</v>
      </c>
      <c r="E609" t="s">
        <v>628</v>
      </c>
      <c r="F609" t="s">
        <v>829</v>
      </c>
      <c r="G609" t="s">
        <v>1762</v>
      </c>
      <c r="H609" t="s">
        <v>1768</v>
      </c>
      <c r="I609" t="s">
        <v>1773</v>
      </c>
      <c r="J609" t="s">
        <v>1779</v>
      </c>
      <c r="K609">
        <v>12</v>
      </c>
      <c r="L609" s="2">
        <v>902</v>
      </c>
      <c r="M609">
        <v>0.15</v>
      </c>
      <c r="N609" s="2">
        <v>634.6</v>
      </c>
      <c r="O609" s="2">
        <v>9200.4</v>
      </c>
      <c r="P609" s="2">
        <v>7615.2</v>
      </c>
      <c r="Q609" s="2">
        <v>1585.2</v>
      </c>
      <c r="R609">
        <v>1</v>
      </c>
      <c r="S609" s="2" t="str">
        <f>TEXT(data[[#This Row],[Date]],"mmm yyyy")</f>
        <v>Mar 2024</v>
      </c>
      <c r="T609" s="8">
        <f>data[[#This Row],[Profit]]/data[[#This Row],[Revenue]]</f>
        <v>0.17229685665840616</v>
      </c>
    </row>
    <row r="610" spans="1:20" x14ac:dyDescent="0.3">
      <c r="A610">
        <v>10608</v>
      </c>
      <c r="B610" t="s">
        <v>221</v>
      </c>
      <c r="C610" t="s">
        <v>608</v>
      </c>
      <c r="D610" t="s">
        <v>614</v>
      </c>
      <c r="E610" t="s">
        <v>628</v>
      </c>
      <c r="F610" t="s">
        <v>1218</v>
      </c>
      <c r="G610" t="s">
        <v>1764</v>
      </c>
      <c r="H610" t="s">
        <v>1771</v>
      </c>
      <c r="I610" t="s">
        <v>1773</v>
      </c>
      <c r="J610" t="s">
        <v>1776</v>
      </c>
      <c r="K610">
        <v>7</v>
      </c>
      <c r="L610" s="2">
        <v>657</v>
      </c>
      <c r="M610">
        <v>0.2</v>
      </c>
      <c r="N610" s="2">
        <v>410.19</v>
      </c>
      <c r="O610" s="2">
        <v>3679.2</v>
      </c>
      <c r="P610" s="2">
        <v>2871.33</v>
      </c>
      <c r="Q610" s="2">
        <v>807.87</v>
      </c>
      <c r="R610">
        <v>0</v>
      </c>
      <c r="S610" s="2" t="str">
        <f>TEXT(data[[#This Row],[Date]],"mmm yyyy")</f>
        <v>Aug 2024</v>
      </c>
      <c r="T610" s="8">
        <f>data[[#This Row],[Profit]]/data[[#This Row],[Revenue]]</f>
        <v>0.21957762557077626</v>
      </c>
    </row>
    <row r="611" spans="1:20" x14ac:dyDescent="0.3">
      <c r="A611">
        <v>10609</v>
      </c>
      <c r="B611" t="s">
        <v>158</v>
      </c>
      <c r="C611" t="s">
        <v>607</v>
      </c>
      <c r="D611" t="s">
        <v>617</v>
      </c>
      <c r="E611" t="s">
        <v>626</v>
      </c>
      <c r="F611" t="s">
        <v>1219</v>
      </c>
      <c r="G611" t="s">
        <v>1765</v>
      </c>
      <c r="H611" t="s">
        <v>1770</v>
      </c>
      <c r="I611" t="s">
        <v>1773</v>
      </c>
      <c r="J611" t="s">
        <v>1777</v>
      </c>
      <c r="K611">
        <v>17</v>
      </c>
      <c r="L611" s="2">
        <v>640</v>
      </c>
      <c r="M611">
        <v>0.2</v>
      </c>
      <c r="N611" s="2">
        <v>365.48</v>
      </c>
      <c r="O611" s="2">
        <v>8704</v>
      </c>
      <c r="P611" s="2">
        <v>6213.16</v>
      </c>
      <c r="Q611" s="2">
        <v>2490.84</v>
      </c>
      <c r="R611">
        <v>0</v>
      </c>
      <c r="S611" s="2" t="str">
        <f>TEXT(data[[#This Row],[Date]],"mmm yyyy")</f>
        <v>Oct 2024</v>
      </c>
      <c r="T611" s="8">
        <f>data[[#This Row],[Profit]]/data[[#This Row],[Revenue]]</f>
        <v>0.28617187500000002</v>
      </c>
    </row>
    <row r="612" spans="1:20" x14ac:dyDescent="0.3">
      <c r="A612">
        <v>10610</v>
      </c>
      <c r="B612" t="s">
        <v>275</v>
      </c>
      <c r="C612" t="s">
        <v>607</v>
      </c>
      <c r="D612" t="s">
        <v>621</v>
      </c>
      <c r="E612" t="s">
        <v>629</v>
      </c>
      <c r="F612" t="s">
        <v>1220</v>
      </c>
      <c r="G612" t="s">
        <v>1766</v>
      </c>
      <c r="H612" t="s">
        <v>1767</v>
      </c>
      <c r="I612" t="s">
        <v>1775</v>
      </c>
      <c r="J612" t="s">
        <v>1776</v>
      </c>
      <c r="K612">
        <v>5</v>
      </c>
      <c r="L612" s="2">
        <v>82</v>
      </c>
      <c r="M612">
        <v>0.05</v>
      </c>
      <c r="N612" s="2">
        <v>55.72</v>
      </c>
      <c r="O612" s="2">
        <v>389.5</v>
      </c>
      <c r="P612" s="2">
        <v>278.60000000000002</v>
      </c>
      <c r="Q612" s="2">
        <v>110.9</v>
      </c>
      <c r="R612">
        <v>0</v>
      </c>
      <c r="S612" s="2" t="str">
        <f>TEXT(data[[#This Row],[Date]],"mmm yyyy")</f>
        <v>Nov 2024</v>
      </c>
      <c r="T612" s="8">
        <f>data[[#This Row],[Profit]]/data[[#This Row],[Revenue]]</f>
        <v>0.28472400513478818</v>
      </c>
    </row>
    <row r="613" spans="1:20" x14ac:dyDescent="0.3">
      <c r="A613">
        <v>10611</v>
      </c>
      <c r="B613" t="s">
        <v>282</v>
      </c>
      <c r="C613" t="s">
        <v>608</v>
      </c>
      <c r="D613" t="s">
        <v>615</v>
      </c>
      <c r="E613" t="s">
        <v>627</v>
      </c>
      <c r="F613" t="s">
        <v>1221</v>
      </c>
      <c r="G613" t="s">
        <v>1759</v>
      </c>
      <c r="H613" t="s">
        <v>1772</v>
      </c>
      <c r="I613" t="s">
        <v>1775</v>
      </c>
      <c r="J613" t="s">
        <v>1777</v>
      </c>
      <c r="K613">
        <v>5</v>
      </c>
      <c r="L613" s="2">
        <v>960</v>
      </c>
      <c r="M613">
        <v>0.1</v>
      </c>
      <c r="N613" s="2">
        <v>667.09</v>
      </c>
      <c r="O613" s="2">
        <v>4320</v>
      </c>
      <c r="P613" s="2">
        <v>3335.45</v>
      </c>
      <c r="Q613" s="2">
        <v>984.55</v>
      </c>
      <c r="R613">
        <v>0</v>
      </c>
      <c r="S613" s="2" t="str">
        <f>TEXT(data[[#This Row],[Date]],"mmm yyyy")</f>
        <v>May 2024</v>
      </c>
      <c r="T613" s="8">
        <f>data[[#This Row],[Profit]]/data[[#This Row],[Revenue]]</f>
        <v>0.22790509259259259</v>
      </c>
    </row>
    <row r="614" spans="1:20" x14ac:dyDescent="0.3">
      <c r="A614">
        <v>10612</v>
      </c>
      <c r="B614" t="s">
        <v>432</v>
      </c>
      <c r="C614" t="s">
        <v>609</v>
      </c>
      <c r="D614" t="s">
        <v>623</v>
      </c>
      <c r="E614" t="s">
        <v>629</v>
      </c>
      <c r="F614" t="s">
        <v>1222</v>
      </c>
      <c r="G614" t="s">
        <v>1760</v>
      </c>
      <c r="H614" t="s">
        <v>1767</v>
      </c>
      <c r="I614" t="s">
        <v>1774</v>
      </c>
      <c r="J614" t="s">
        <v>1779</v>
      </c>
      <c r="K614">
        <v>17</v>
      </c>
      <c r="L614" s="2">
        <v>162</v>
      </c>
      <c r="M614">
        <v>0.15</v>
      </c>
      <c r="N614" s="2">
        <v>112.82</v>
      </c>
      <c r="O614" s="2">
        <v>2340.9</v>
      </c>
      <c r="P614" s="2">
        <v>1917.94</v>
      </c>
      <c r="Q614" s="2">
        <v>422.96</v>
      </c>
      <c r="R614">
        <v>0</v>
      </c>
      <c r="S614" s="2" t="str">
        <f>TEXT(data[[#This Row],[Date]],"mmm yyyy")</f>
        <v>Jun 2024</v>
      </c>
      <c r="T614" s="8">
        <f>data[[#This Row],[Profit]]/data[[#This Row],[Revenue]]</f>
        <v>0.18068264342774146</v>
      </c>
    </row>
    <row r="615" spans="1:20" x14ac:dyDescent="0.3">
      <c r="A615">
        <v>10613</v>
      </c>
      <c r="B615" t="s">
        <v>433</v>
      </c>
      <c r="C615" t="s">
        <v>609</v>
      </c>
      <c r="D615" t="s">
        <v>622</v>
      </c>
      <c r="E615" t="s">
        <v>627</v>
      </c>
      <c r="F615" t="s">
        <v>1223</v>
      </c>
      <c r="G615" t="s">
        <v>1766</v>
      </c>
      <c r="H615" t="s">
        <v>1768</v>
      </c>
      <c r="I615" t="s">
        <v>1773</v>
      </c>
      <c r="J615" t="s">
        <v>1776</v>
      </c>
      <c r="K615">
        <v>6</v>
      </c>
      <c r="L615" s="2">
        <v>1233</v>
      </c>
      <c r="M615">
        <v>0.05</v>
      </c>
      <c r="N615" s="2">
        <v>844.71</v>
      </c>
      <c r="O615" s="2">
        <v>7028.1</v>
      </c>
      <c r="P615" s="2">
        <v>5068.26</v>
      </c>
      <c r="Q615" s="2">
        <v>1959.84</v>
      </c>
      <c r="R615">
        <v>0</v>
      </c>
      <c r="S615" s="2" t="str">
        <f>TEXT(data[[#This Row],[Date]],"mmm yyyy")</f>
        <v>Aug 2024</v>
      </c>
      <c r="T615" s="8">
        <f>data[[#This Row],[Profit]]/data[[#This Row],[Revenue]]</f>
        <v>0.27885772826226146</v>
      </c>
    </row>
    <row r="616" spans="1:20" x14ac:dyDescent="0.3">
      <c r="A616">
        <v>10614</v>
      </c>
      <c r="B616" t="s">
        <v>29</v>
      </c>
      <c r="C616" t="s">
        <v>607</v>
      </c>
      <c r="D616" t="s">
        <v>617</v>
      </c>
      <c r="E616" t="s">
        <v>628</v>
      </c>
      <c r="F616" t="s">
        <v>1224</v>
      </c>
      <c r="G616" t="s">
        <v>1761</v>
      </c>
      <c r="H616" t="s">
        <v>1768</v>
      </c>
      <c r="I616" t="s">
        <v>1775</v>
      </c>
      <c r="J616" t="s">
        <v>1776</v>
      </c>
      <c r="K616">
        <v>17</v>
      </c>
      <c r="L616" s="2">
        <v>835</v>
      </c>
      <c r="M616">
        <v>0.05</v>
      </c>
      <c r="N616" s="2">
        <v>530.1</v>
      </c>
      <c r="O616" s="2">
        <v>13485.25</v>
      </c>
      <c r="P616" s="2">
        <v>9011.7000000000007</v>
      </c>
      <c r="Q616" s="2">
        <v>4473.55</v>
      </c>
      <c r="R616">
        <v>0</v>
      </c>
      <c r="S616" s="2" t="str">
        <f>TEXT(data[[#This Row],[Date]],"mmm yyyy")</f>
        <v>Apr 2025</v>
      </c>
      <c r="T616" s="8">
        <f>data[[#This Row],[Profit]]/data[[#This Row],[Revenue]]</f>
        <v>0.33173652694610778</v>
      </c>
    </row>
    <row r="617" spans="1:20" x14ac:dyDescent="0.3">
      <c r="A617">
        <v>10615</v>
      </c>
      <c r="B617" t="s">
        <v>434</v>
      </c>
      <c r="C617" t="s">
        <v>609</v>
      </c>
      <c r="D617" t="s">
        <v>619</v>
      </c>
      <c r="E617" t="s">
        <v>629</v>
      </c>
      <c r="F617" t="s">
        <v>1225</v>
      </c>
      <c r="G617" t="s">
        <v>1764</v>
      </c>
      <c r="H617" t="s">
        <v>1768</v>
      </c>
      <c r="I617" t="s">
        <v>1773</v>
      </c>
      <c r="J617" t="s">
        <v>1779</v>
      </c>
      <c r="K617">
        <v>2</v>
      </c>
      <c r="L617" s="2">
        <v>1145</v>
      </c>
      <c r="M617">
        <v>0.05</v>
      </c>
      <c r="N617" s="2">
        <v>647.9</v>
      </c>
      <c r="O617" s="2">
        <v>2175.5</v>
      </c>
      <c r="P617" s="2">
        <v>1295.8</v>
      </c>
      <c r="Q617" s="2">
        <v>879.7</v>
      </c>
      <c r="R617">
        <v>0</v>
      </c>
      <c r="S617" s="2" t="str">
        <f>TEXT(data[[#This Row],[Date]],"mmm yyyy")</f>
        <v>Dec 2024</v>
      </c>
      <c r="T617" s="8">
        <f>data[[#This Row],[Profit]]/data[[#This Row],[Revenue]]</f>
        <v>0.40436681222707427</v>
      </c>
    </row>
    <row r="618" spans="1:20" x14ac:dyDescent="0.3">
      <c r="A618">
        <v>10616</v>
      </c>
      <c r="B618" t="s">
        <v>435</v>
      </c>
      <c r="C618" t="s">
        <v>609</v>
      </c>
      <c r="D618" t="s">
        <v>613</v>
      </c>
      <c r="E618" t="s">
        <v>626</v>
      </c>
      <c r="F618" t="s">
        <v>1226</v>
      </c>
      <c r="G618" t="s">
        <v>1762</v>
      </c>
      <c r="H618" t="s">
        <v>1771</v>
      </c>
      <c r="I618" t="s">
        <v>1774</v>
      </c>
      <c r="J618" t="s">
        <v>1778</v>
      </c>
      <c r="K618">
        <v>5</v>
      </c>
      <c r="L618" s="2">
        <v>654</v>
      </c>
      <c r="M618">
        <v>0</v>
      </c>
      <c r="N618" s="2">
        <v>426.81</v>
      </c>
      <c r="O618" s="2">
        <v>3270</v>
      </c>
      <c r="P618" s="2">
        <v>2134.0500000000002</v>
      </c>
      <c r="Q618" s="2">
        <v>1135.95</v>
      </c>
      <c r="R618">
        <v>0</v>
      </c>
      <c r="S618" s="2" t="str">
        <f>TEXT(data[[#This Row],[Date]],"mmm yyyy")</f>
        <v>Jan 2024</v>
      </c>
      <c r="T618" s="8">
        <f>data[[#This Row],[Profit]]/data[[#This Row],[Revenue]]</f>
        <v>0.34738532110091747</v>
      </c>
    </row>
    <row r="619" spans="1:20" x14ac:dyDescent="0.3">
      <c r="A619">
        <v>10617</v>
      </c>
      <c r="B619" t="s">
        <v>44</v>
      </c>
      <c r="C619" t="s">
        <v>608</v>
      </c>
      <c r="D619" t="s">
        <v>614</v>
      </c>
      <c r="E619" t="s">
        <v>627</v>
      </c>
      <c r="F619" t="s">
        <v>1227</v>
      </c>
      <c r="G619" t="s">
        <v>1760</v>
      </c>
      <c r="H619" t="s">
        <v>1768</v>
      </c>
      <c r="I619" t="s">
        <v>1773</v>
      </c>
      <c r="J619" t="s">
        <v>1776</v>
      </c>
      <c r="K619">
        <v>8</v>
      </c>
      <c r="L619" s="2">
        <v>1144</v>
      </c>
      <c r="M619">
        <v>0.2</v>
      </c>
      <c r="N619" s="2">
        <v>852.69</v>
      </c>
      <c r="O619" s="2">
        <v>7321.6</v>
      </c>
      <c r="P619" s="2">
        <v>6821.52</v>
      </c>
      <c r="Q619" s="2">
        <v>500.08</v>
      </c>
      <c r="R619">
        <v>0</v>
      </c>
      <c r="S619" s="2" t="str">
        <f>TEXT(data[[#This Row],[Date]],"mmm yyyy")</f>
        <v>Jul 2024</v>
      </c>
      <c r="T619" s="8">
        <f>data[[#This Row],[Profit]]/data[[#This Row],[Revenue]]</f>
        <v>6.8302010489510484E-2</v>
      </c>
    </row>
    <row r="620" spans="1:20" x14ac:dyDescent="0.3">
      <c r="A620">
        <v>10618</v>
      </c>
      <c r="B620" t="s">
        <v>436</v>
      </c>
      <c r="C620" t="s">
        <v>608</v>
      </c>
      <c r="D620" t="s">
        <v>618</v>
      </c>
      <c r="E620" t="s">
        <v>628</v>
      </c>
      <c r="F620" t="s">
        <v>1228</v>
      </c>
      <c r="G620" t="s">
        <v>1764</v>
      </c>
      <c r="H620" t="s">
        <v>1770</v>
      </c>
      <c r="I620" t="s">
        <v>1773</v>
      </c>
      <c r="J620" t="s">
        <v>1777</v>
      </c>
      <c r="K620">
        <v>3</v>
      </c>
      <c r="L620" s="2">
        <v>450</v>
      </c>
      <c r="M620">
        <v>0</v>
      </c>
      <c r="N620" s="2">
        <v>257.48</v>
      </c>
      <c r="O620" s="2">
        <v>1350</v>
      </c>
      <c r="P620" s="2">
        <v>772.44</v>
      </c>
      <c r="Q620" s="2">
        <v>577.55999999999995</v>
      </c>
      <c r="R620">
        <v>1</v>
      </c>
      <c r="S620" s="2" t="str">
        <f>TEXT(data[[#This Row],[Date]],"mmm yyyy")</f>
        <v>Jul 2025</v>
      </c>
      <c r="T620" s="8">
        <f>data[[#This Row],[Profit]]/data[[#This Row],[Revenue]]</f>
        <v>0.42782222222222216</v>
      </c>
    </row>
    <row r="621" spans="1:20" x14ac:dyDescent="0.3">
      <c r="A621">
        <v>10619</v>
      </c>
      <c r="B621" t="s">
        <v>44</v>
      </c>
      <c r="C621" t="s">
        <v>609</v>
      </c>
      <c r="D621" t="s">
        <v>619</v>
      </c>
      <c r="E621" t="s">
        <v>626</v>
      </c>
      <c r="F621" t="s">
        <v>1229</v>
      </c>
      <c r="G621" t="s">
        <v>1764</v>
      </c>
      <c r="H621" t="s">
        <v>1768</v>
      </c>
      <c r="I621" t="s">
        <v>1773</v>
      </c>
      <c r="J621" t="s">
        <v>1777</v>
      </c>
      <c r="K621">
        <v>14</v>
      </c>
      <c r="L621" s="2">
        <v>1177</v>
      </c>
      <c r="M621">
        <v>0.15</v>
      </c>
      <c r="N621" s="2">
        <v>758.4</v>
      </c>
      <c r="O621" s="2">
        <v>14006.3</v>
      </c>
      <c r="P621" s="2">
        <v>10617.6</v>
      </c>
      <c r="Q621" s="2">
        <v>3388.7</v>
      </c>
      <c r="R621">
        <v>1</v>
      </c>
      <c r="S621" s="2" t="str">
        <f>TEXT(data[[#This Row],[Date]],"mmm yyyy")</f>
        <v>Jul 2024</v>
      </c>
      <c r="T621" s="8">
        <f>data[[#This Row],[Profit]]/data[[#This Row],[Revenue]]</f>
        <v>0.24194112649307811</v>
      </c>
    </row>
    <row r="622" spans="1:20" x14ac:dyDescent="0.3">
      <c r="A622">
        <v>10620</v>
      </c>
      <c r="B622" t="s">
        <v>141</v>
      </c>
      <c r="C622" t="s">
        <v>609</v>
      </c>
      <c r="D622" t="s">
        <v>623</v>
      </c>
      <c r="E622" t="s">
        <v>626</v>
      </c>
      <c r="F622" t="s">
        <v>1230</v>
      </c>
      <c r="G622" t="s">
        <v>1761</v>
      </c>
      <c r="H622" t="s">
        <v>1772</v>
      </c>
      <c r="I622" t="s">
        <v>1775</v>
      </c>
      <c r="J622" t="s">
        <v>1777</v>
      </c>
      <c r="K622">
        <v>20</v>
      </c>
      <c r="L622" s="2">
        <v>1046</v>
      </c>
      <c r="M622">
        <v>0.15</v>
      </c>
      <c r="N622" s="2">
        <v>737.61</v>
      </c>
      <c r="O622" s="2">
        <v>17782</v>
      </c>
      <c r="P622" s="2">
        <v>14752.2</v>
      </c>
      <c r="Q622" s="2">
        <v>3029.8</v>
      </c>
      <c r="R622">
        <v>1</v>
      </c>
      <c r="S622" s="2" t="str">
        <f>TEXT(data[[#This Row],[Date]],"mmm yyyy")</f>
        <v>Oct 2025</v>
      </c>
      <c r="T622" s="8">
        <f>data[[#This Row],[Profit]]/data[[#This Row],[Revenue]]</f>
        <v>0.17038578337644811</v>
      </c>
    </row>
    <row r="623" spans="1:20" x14ac:dyDescent="0.3">
      <c r="A623">
        <v>10621</v>
      </c>
      <c r="B623" t="s">
        <v>210</v>
      </c>
      <c r="C623" t="s">
        <v>609</v>
      </c>
      <c r="D623" t="s">
        <v>613</v>
      </c>
      <c r="E623" t="s">
        <v>629</v>
      </c>
      <c r="F623" t="s">
        <v>1231</v>
      </c>
      <c r="G623" t="s">
        <v>1759</v>
      </c>
      <c r="H623" t="s">
        <v>1767</v>
      </c>
      <c r="I623" t="s">
        <v>1775</v>
      </c>
      <c r="J623" t="s">
        <v>1776</v>
      </c>
      <c r="K623">
        <v>16</v>
      </c>
      <c r="L623" s="2">
        <v>275</v>
      </c>
      <c r="M623">
        <v>0.05</v>
      </c>
      <c r="N623" s="2">
        <v>161.94</v>
      </c>
      <c r="O623" s="2">
        <v>4180</v>
      </c>
      <c r="P623" s="2">
        <v>2591.04</v>
      </c>
      <c r="Q623" s="2">
        <v>1588.96</v>
      </c>
      <c r="R623">
        <v>0</v>
      </c>
      <c r="S623" s="2" t="str">
        <f>TEXT(data[[#This Row],[Date]],"mmm yyyy")</f>
        <v>May 2024</v>
      </c>
      <c r="T623" s="8">
        <f>data[[#This Row],[Profit]]/data[[#This Row],[Revenue]]</f>
        <v>0.38013397129186605</v>
      </c>
    </row>
    <row r="624" spans="1:20" x14ac:dyDescent="0.3">
      <c r="A624">
        <v>10622</v>
      </c>
      <c r="B624" t="s">
        <v>437</v>
      </c>
      <c r="C624" t="s">
        <v>609</v>
      </c>
      <c r="D624" t="s">
        <v>622</v>
      </c>
      <c r="E624" t="s">
        <v>628</v>
      </c>
      <c r="F624" t="s">
        <v>1232</v>
      </c>
      <c r="G624" t="s">
        <v>1759</v>
      </c>
      <c r="H624" t="s">
        <v>1770</v>
      </c>
      <c r="I624" t="s">
        <v>1773</v>
      </c>
      <c r="J624" t="s">
        <v>1779</v>
      </c>
      <c r="K624">
        <v>11</v>
      </c>
      <c r="L624" s="2">
        <v>707</v>
      </c>
      <c r="M624">
        <v>0.2</v>
      </c>
      <c r="N624" s="2">
        <v>431.52</v>
      </c>
      <c r="O624" s="2">
        <v>6221.6</v>
      </c>
      <c r="P624" s="2">
        <v>4746.72</v>
      </c>
      <c r="Q624" s="2">
        <v>1474.88</v>
      </c>
      <c r="R624">
        <v>0</v>
      </c>
      <c r="S624" s="2" t="str">
        <f>TEXT(data[[#This Row],[Date]],"mmm yyyy")</f>
        <v>Jun 2024</v>
      </c>
      <c r="T624" s="8">
        <f>data[[#This Row],[Profit]]/data[[#This Row],[Revenue]]</f>
        <v>0.23705799151343707</v>
      </c>
    </row>
    <row r="625" spans="1:20" x14ac:dyDescent="0.3">
      <c r="A625">
        <v>10623</v>
      </c>
      <c r="B625" t="s">
        <v>438</v>
      </c>
      <c r="C625" t="s">
        <v>609</v>
      </c>
      <c r="D625" t="s">
        <v>622</v>
      </c>
      <c r="E625" t="s">
        <v>628</v>
      </c>
      <c r="F625" t="s">
        <v>1233</v>
      </c>
      <c r="G625" t="s">
        <v>1760</v>
      </c>
      <c r="H625" t="s">
        <v>1771</v>
      </c>
      <c r="I625" t="s">
        <v>1774</v>
      </c>
      <c r="J625" t="s">
        <v>1778</v>
      </c>
      <c r="K625">
        <v>9</v>
      </c>
      <c r="L625" s="2">
        <v>564</v>
      </c>
      <c r="M625">
        <v>0</v>
      </c>
      <c r="N625" s="2">
        <v>324.66000000000003</v>
      </c>
      <c r="O625" s="2">
        <v>5076</v>
      </c>
      <c r="P625" s="2">
        <v>2921.94</v>
      </c>
      <c r="Q625" s="2">
        <v>2154.06</v>
      </c>
      <c r="R625">
        <v>1</v>
      </c>
      <c r="S625" s="2" t="str">
        <f>TEXT(data[[#This Row],[Date]],"mmm yyyy")</f>
        <v>May 2025</v>
      </c>
      <c r="T625" s="8">
        <f>data[[#This Row],[Profit]]/data[[#This Row],[Revenue]]</f>
        <v>0.42436170212765956</v>
      </c>
    </row>
    <row r="626" spans="1:20" x14ac:dyDescent="0.3">
      <c r="A626">
        <v>10624</v>
      </c>
      <c r="B626" t="s">
        <v>241</v>
      </c>
      <c r="C626" t="s">
        <v>606</v>
      </c>
      <c r="D626" t="s">
        <v>620</v>
      </c>
      <c r="E626" t="s">
        <v>626</v>
      </c>
      <c r="F626" t="s">
        <v>1234</v>
      </c>
      <c r="G626" t="s">
        <v>1764</v>
      </c>
      <c r="H626" t="s">
        <v>1767</v>
      </c>
      <c r="I626" t="s">
        <v>1775</v>
      </c>
      <c r="J626" t="s">
        <v>1777</v>
      </c>
      <c r="K626">
        <v>16</v>
      </c>
      <c r="L626" s="2">
        <v>93</v>
      </c>
      <c r="M626">
        <v>0.15</v>
      </c>
      <c r="N626" s="2">
        <v>46.55</v>
      </c>
      <c r="O626" s="2">
        <v>1264.8</v>
      </c>
      <c r="P626" s="2">
        <v>744.8</v>
      </c>
      <c r="Q626" s="2">
        <v>520</v>
      </c>
      <c r="R626">
        <v>0</v>
      </c>
      <c r="S626" s="2" t="str">
        <f>TEXT(data[[#This Row],[Date]],"mmm yyyy")</f>
        <v>Jul 2024</v>
      </c>
      <c r="T626" s="8">
        <f>data[[#This Row],[Profit]]/data[[#This Row],[Revenue]]</f>
        <v>0.41113219481340924</v>
      </c>
    </row>
    <row r="627" spans="1:20" x14ac:dyDescent="0.3">
      <c r="A627">
        <v>10625</v>
      </c>
      <c r="B627" t="s">
        <v>330</v>
      </c>
      <c r="C627" t="s">
        <v>608</v>
      </c>
      <c r="D627" t="s">
        <v>614</v>
      </c>
      <c r="E627" t="s">
        <v>628</v>
      </c>
      <c r="F627" t="s">
        <v>1235</v>
      </c>
      <c r="G627" t="s">
        <v>1760</v>
      </c>
      <c r="H627" t="s">
        <v>1767</v>
      </c>
      <c r="I627" t="s">
        <v>1774</v>
      </c>
      <c r="J627" t="s">
        <v>1777</v>
      </c>
      <c r="K627">
        <v>12</v>
      </c>
      <c r="L627" s="2">
        <v>87</v>
      </c>
      <c r="M627">
        <v>0.15</v>
      </c>
      <c r="N627" s="2">
        <v>56.48</v>
      </c>
      <c r="O627" s="2">
        <v>887.4</v>
      </c>
      <c r="P627" s="2">
        <v>677.76</v>
      </c>
      <c r="Q627" s="2">
        <v>209.64</v>
      </c>
      <c r="R627">
        <v>0</v>
      </c>
      <c r="S627" s="2" t="str">
        <f>TEXT(data[[#This Row],[Date]],"mmm yyyy")</f>
        <v>Feb 2024</v>
      </c>
      <c r="T627" s="8">
        <f>data[[#This Row],[Profit]]/data[[#This Row],[Revenue]]</f>
        <v>0.23624070317782284</v>
      </c>
    </row>
    <row r="628" spans="1:20" x14ac:dyDescent="0.3">
      <c r="A628">
        <v>10626</v>
      </c>
      <c r="B628" t="s">
        <v>439</v>
      </c>
      <c r="C628" t="s">
        <v>609</v>
      </c>
      <c r="D628" t="s">
        <v>623</v>
      </c>
      <c r="E628" t="s">
        <v>628</v>
      </c>
      <c r="F628" t="s">
        <v>1236</v>
      </c>
      <c r="G628" t="s">
        <v>1766</v>
      </c>
      <c r="H628" t="s">
        <v>1768</v>
      </c>
      <c r="I628" t="s">
        <v>1774</v>
      </c>
      <c r="J628" t="s">
        <v>1777</v>
      </c>
      <c r="K628">
        <v>18</v>
      </c>
      <c r="L628" s="2">
        <v>891</v>
      </c>
      <c r="M628">
        <v>0.05</v>
      </c>
      <c r="N628" s="2">
        <v>488.38</v>
      </c>
      <c r="O628" s="2">
        <v>15236.1</v>
      </c>
      <c r="P628" s="2">
        <v>8790.84</v>
      </c>
      <c r="Q628" s="2">
        <v>6445.26</v>
      </c>
      <c r="R628">
        <v>0</v>
      </c>
      <c r="S628" s="2" t="str">
        <f>TEXT(data[[#This Row],[Date]],"mmm yyyy")</f>
        <v>Oct 2024</v>
      </c>
      <c r="T628" s="8">
        <f>data[[#This Row],[Profit]]/data[[#This Row],[Revenue]]</f>
        <v>0.42302557741154234</v>
      </c>
    </row>
    <row r="629" spans="1:20" x14ac:dyDescent="0.3">
      <c r="A629">
        <v>10627</v>
      </c>
      <c r="B629" t="s">
        <v>440</v>
      </c>
      <c r="C629" t="s">
        <v>608</v>
      </c>
      <c r="D629" t="s">
        <v>612</v>
      </c>
      <c r="E629" t="s">
        <v>629</v>
      </c>
      <c r="F629" t="s">
        <v>1237</v>
      </c>
      <c r="G629" t="s">
        <v>1766</v>
      </c>
      <c r="H629" t="s">
        <v>1768</v>
      </c>
      <c r="I629" t="s">
        <v>1773</v>
      </c>
      <c r="J629" t="s">
        <v>1779</v>
      </c>
      <c r="K629">
        <v>3</v>
      </c>
      <c r="L629" s="2">
        <v>921</v>
      </c>
      <c r="M629">
        <v>0.2</v>
      </c>
      <c r="N629" s="2">
        <v>655.34</v>
      </c>
      <c r="O629" s="2">
        <v>2210.4</v>
      </c>
      <c r="P629" s="2">
        <v>1966.02</v>
      </c>
      <c r="Q629" s="2">
        <v>244.38</v>
      </c>
      <c r="R629">
        <v>1</v>
      </c>
      <c r="S629" s="2" t="str">
        <f>TEXT(data[[#This Row],[Date]],"mmm yyyy")</f>
        <v>Apr 2024</v>
      </c>
      <c r="T629" s="8">
        <f>data[[#This Row],[Profit]]/data[[#This Row],[Revenue]]</f>
        <v>0.11055917480998914</v>
      </c>
    </row>
    <row r="630" spans="1:20" x14ac:dyDescent="0.3">
      <c r="A630">
        <v>10628</v>
      </c>
      <c r="B630" t="s">
        <v>58</v>
      </c>
      <c r="C630" t="s">
        <v>609</v>
      </c>
      <c r="D630" t="s">
        <v>613</v>
      </c>
      <c r="E630" t="s">
        <v>628</v>
      </c>
      <c r="F630" t="s">
        <v>1238</v>
      </c>
      <c r="G630" t="s">
        <v>1766</v>
      </c>
      <c r="H630" t="s">
        <v>1771</v>
      </c>
      <c r="I630" t="s">
        <v>1774</v>
      </c>
      <c r="J630" t="s">
        <v>1777</v>
      </c>
      <c r="K630">
        <v>4</v>
      </c>
      <c r="L630" s="2">
        <v>693</v>
      </c>
      <c r="M630">
        <v>0</v>
      </c>
      <c r="N630" s="2">
        <v>482.71</v>
      </c>
      <c r="O630" s="2">
        <v>2772</v>
      </c>
      <c r="P630" s="2">
        <v>1930.84</v>
      </c>
      <c r="Q630" s="2">
        <v>841.16</v>
      </c>
      <c r="R630">
        <v>1</v>
      </c>
      <c r="S630" s="2" t="str">
        <f>TEXT(data[[#This Row],[Date]],"mmm yyyy")</f>
        <v>Jan 2025</v>
      </c>
      <c r="T630" s="8">
        <f>data[[#This Row],[Profit]]/data[[#This Row],[Revenue]]</f>
        <v>0.30344877344877341</v>
      </c>
    </row>
    <row r="631" spans="1:20" x14ac:dyDescent="0.3">
      <c r="A631">
        <v>10629</v>
      </c>
      <c r="B631" t="s">
        <v>441</v>
      </c>
      <c r="C631" t="s">
        <v>608</v>
      </c>
      <c r="D631" t="s">
        <v>615</v>
      </c>
      <c r="E631" t="s">
        <v>629</v>
      </c>
      <c r="F631" t="s">
        <v>1239</v>
      </c>
      <c r="G631" t="s">
        <v>1762</v>
      </c>
      <c r="H631" t="s">
        <v>1769</v>
      </c>
      <c r="I631" t="s">
        <v>1774</v>
      </c>
      <c r="J631" t="s">
        <v>1777</v>
      </c>
      <c r="K631">
        <v>9</v>
      </c>
      <c r="L631" s="2">
        <v>317</v>
      </c>
      <c r="M631">
        <v>0.1</v>
      </c>
      <c r="N631" s="2">
        <v>214.75</v>
      </c>
      <c r="O631" s="2">
        <v>2567.6999999999998</v>
      </c>
      <c r="P631" s="2">
        <v>1932.75</v>
      </c>
      <c r="Q631" s="2">
        <v>634.95000000000005</v>
      </c>
      <c r="R631">
        <v>1</v>
      </c>
      <c r="S631" s="2" t="str">
        <f>TEXT(data[[#This Row],[Date]],"mmm yyyy")</f>
        <v>Jul 2025</v>
      </c>
      <c r="T631" s="8">
        <f>data[[#This Row],[Profit]]/data[[#This Row],[Revenue]]</f>
        <v>0.24728356116368738</v>
      </c>
    </row>
    <row r="632" spans="1:20" x14ac:dyDescent="0.3">
      <c r="A632">
        <v>10630</v>
      </c>
      <c r="B632" t="s">
        <v>34</v>
      </c>
      <c r="C632" t="s">
        <v>608</v>
      </c>
      <c r="D632" t="s">
        <v>618</v>
      </c>
      <c r="E632" t="s">
        <v>626</v>
      </c>
      <c r="F632" t="s">
        <v>1240</v>
      </c>
      <c r="G632" t="s">
        <v>1762</v>
      </c>
      <c r="H632" t="s">
        <v>1772</v>
      </c>
      <c r="I632" t="s">
        <v>1773</v>
      </c>
      <c r="J632" t="s">
        <v>1776</v>
      </c>
      <c r="K632">
        <v>12</v>
      </c>
      <c r="L632" s="2">
        <v>995</v>
      </c>
      <c r="M632">
        <v>0.15</v>
      </c>
      <c r="N632" s="2">
        <v>514.08000000000004</v>
      </c>
      <c r="O632" s="2">
        <v>10149</v>
      </c>
      <c r="P632" s="2">
        <v>6168.96</v>
      </c>
      <c r="Q632" s="2">
        <v>3980.04</v>
      </c>
      <c r="R632">
        <v>0</v>
      </c>
      <c r="S632" s="2" t="str">
        <f>TEXT(data[[#This Row],[Date]],"mmm yyyy")</f>
        <v>May 2025</v>
      </c>
      <c r="T632" s="8">
        <f>data[[#This Row],[Profit]]/data[[#This Row],[Revenue]]</f>
        <v>0.39216080402010051</v>
      </c>
    </row>
    <row r="633" spans="1:20" x14ac:dyDescent="0.3">
      <c r="A633">
        <v>10631</v>
      </c>
      <c r="B633" t="s">
        <v>442</v>
      </c>
      <c r="C633" t="s">
        <v>609</v>
      </c>
      <c r="D633" t="s">
        <v>619</v>
      </c>
      <c r="E633" t="s">
        <v>627</v>
      </c>
      <c r="F633" t="s">
        <v>1241</v>
      </c>
      <c r="G633" t="s">
        <v>1765</v>
      </c>
      <c r="H633" t="s">
        <v>1771</v>
      </c>
      <c r="I633" t="s">
        <v>1773</v>
      </c>
      <c r="J633" t="s">
        <v>1779</v>
      </c>
      <c r="K633">
        <v>11</v>
      </c>
      <c r="L633" s="2">
        <v>697</v>
      </c>
      <c r="M633">
        <v>0</v>
      </c>
      <c r="N633" s="2">
        <v>522.64</v>
      </c>
      <c r="O633" s="2">
        <v>7667</v>
      </c>
      <c r="P633" s="2">
        <v>5749.04</v>
      </c>
      <c r="Q633" s="2">
        <v>1917.96</v>
      </c>
      <c r="R633">
        <v>1</v>
      </c>
      <c r="S633" s="2" t="str">
        <f>TEXT(data[[#This Row],[Date]],"mmm yyyy")</f>
        <v>May 2025</v>
      </c>
      <c r="T633" s="8">
        <f>data[[#This Row],[Profit]]/data[[#This Row],[Revenue]]</f>
        <v>0.2501578192252511</v>
      </c>
    </row>
    <row r="634" spans="1:20" x14ac:dyDescent="0.3">
      <c r="A634">
        <v>10632</v>
      </c>
      <c r="B634" t="s">
        <v>251</v>
      </c>
      <c r="C634" t="s">
        <v>608</v>
      </c>
      <c r="D634" t="s">
        <v>612</v>
      </c>
      <c r="E634" t="s">
        <v>627</v>
      </c>
      <c r="F634" t="s">
        <v>1242</v>
      </c>
      <c r="G634" t="s">
        <v>1760</v>
      </c>
      <c r="H634" t="s">
        <v>1772</v>
      </c>
      <c r="I634" t="s">
        <v>1774</v>
      </c>
      <c r="J634" t="s">
        <v>1778</v>
      </c>
      <c r="K634">
        <v>19</v>
      </c>
      <c r="L634" s="2">
        <v>617</v>
      </c>
      <c r="M634">
        <v>0.2</v>
      </c>
      <c r="N634" s="2">
        <v>437.29</v>
      </c>
      <c r="O634" s="2">
        <v>9378.4</v>
      </c>
      <c r="P634" s="2">
        <v>8308.51</v>
      </c>
      <c r="Q634" s="2">
        <v>1069.8900000000001</v>
      </c>
      <c r="R634">
        <v>1</v>
      </c>
      <c r="S634" s="2" t="str">
        <f>TEXT(data[[#This Row],[Date]],"mmm yyyy")</f>
        <v>May 2025</v>
      </c>
      <c r="T634" s="8">
        <f>data[[#This Row],[Profit]]/data[[#This Row],[Revenue]]</f>
        <v>0.11408022690437603</v>
      </c>
    </row>
    <row r="635" spans="1:20" x14ac:dyDescent="0.3">
      <c r="A635">
        <v>10633</v>
      </c>
      <c r="B635" t="s">
        <v>183</v>
      </c>
      <c r="C635" t="s">
        <v>607</v>
      </c>
      <c r="D635" t="s">
        <v>624</v>
      </c>
      <c r="E635" t="s">
        <v>628</v>
      </c>
      <c r="F635" t="s">
        <v>1243</v>
      </c>
      <c r="G635" t="s">
        <v>1765</v>
      </c>
      <c r="H635" t="s">
        <v>1772</v>
      </c>
      <c r="I635" t="s">
        <v>1774</v>
      </c>
      <c r="J635" t="s">
        <v>1778</v>
      </c>
      <c r="K635">
        <v>3</v>
      </c>
      <c r="L635" s="2">
        <v>1021</v>
      </c>
      <c r="M635">
        <v>0.1</v>
      </c>
      <c r="N635" s="2">
        <v>550.88</v>
      </c>
      <c r="O635" s="2">
        <v>2756.7</v>
      </c>
      <c r="P635" s="2">
        <v>1652.64</v>
      </c>
      <c r="Q635" s="2">
        <v>1104.06</v>
      </c>
      <c r="R635">
        <v>0</v>
      </c>
      <c r="S635" s="2" t="str">
        <f>TEXT(data[[#This Row],[Date]],"mmm yyyy")</f>
        <v>Oct 2024</v>
      </c>
      <c r="T635" s="8">
        <f>data[[#This Row],[Profit]]/data[[#This Row],[Revenue]]</f>
        <v>0.4005005985417347</v>
      </c>
    </row>
    <row r="636" spans="1:20" x14ac:dyDescent="0.3">
      <c r="A636">
        <v>10634</v>
      </c>
      <c r="B636" t="s">
        <v>360</v>
      </c>
      <c r="C636" t="s">
        <v>606</v>
      </c>
      <c r="D636" t="s">
        <v>610</v>
      </c>
      <c r="E636" t="s">
        <v>629</v>
      </c>
      <c r="F636" t="s">
        <v>1244</v>
      </c>
      <c r="G636" t="s">
        <v>1763</v>
      </c>
      <c r="H636" t="s">
        <v>1772</v>
      </c>
      <c r="I636" t="s">
        <v>1774</v>
      </c>
      <c r="J636" t="s">
        <v>1779</v>
      </c>
      <c r="K636">
        <v>14</v>
      </c>
      <c r="L636" s="2">
        <v>511</v>
      </c>
      <c r="M636">
        <v>0.1</v>
      </c>
      <c r="N636" s="2">
        <v>301.69</v>
      </c>
      <c r="O636" s="2">
        <v>6438.6</v>
      </c>
      <c r="P636" s="2">
        <v>4223.66</v>
      </c>
      <c r="Q636" s="2">
        <v>2214.94</v>
      </c>
      <c r="R636">
        <v>0</v>
      </c>
      <c r="S636" s="2" t="str">
        <f>TEXT(data[[#This Row],[Date]],"mmm yyyy")</f>
        <v>Aug 2025</v>
      </c>
      <c r="T636" s="8">
        <f>data[[#This Row],[Profit]]/data[[#This Row],[Revenue]]</f>
        <v>0.34400956729723853</v>
      </c>
    </row>
    <row r="637" spans="1:20" x14ac:dyDescent="0.3">
      <c r="A637">
        <v>10635</v>
      </c>
      <c r="B637" t="s">
        <v>19</v>
      </c>
      <c r="C637" t="s">
        <v>609</v>
      </c>
      <c r="D637" t="s">
        <v>622</v>
      </c>
      <c r="E637" t="s">
        <v>626</v>
      </c>
      <c r="F637" t="s">
        <v>1245</v>
      </c>
      <c r="G637" t="s">
        <v>1760</v>
      </c>
      <c r="H637" t="s">
        <v>1772</v>
      </c>
      <c r="I637" t="s">
        <v>1774</v>
      </c>
      <c r="J637" t="s">
        <v>1778</v>
      </c>
      <c r="K637">
        <v>5</v>
      </c>
      <c r="L637" s="2">
        <v>574</v>
      </c>
      <c r="M637">
        <v>0.2</v>
      </c>
      <c r="N637" s="2">
        <v>295.85000000000002</v>
      </c>
      <c r="O637" s="2">
        <v>2296</v>
      </c>
      <c r="P637" s="2">
        <v>1479.25</v>
      </c>
      <c r="Q637" s="2">
        <v>816.75</v>
      </c>
      <c r="R637">
        <v>0</v>
      </c>
      <c r="S637" s="2" t="str">
        <f>TEXT(data[[#This Row],[Date]],"mmm yyyy")</f>
        <v>Aug 2024</v>
      </c>
      <c r="T637" s="8">
        <f>data[[#This Row],[Profit]]/data[[#This Row],[Revenue]]</f>
        <v>0.35572735191637633</v>
      </c>
    </row>
    <row r="638" spans="1:20" x14ac:dyDescent="0.3">
      <c r="A638">
        <v>10636</v>
      </c>
      <c r="B638" t="s">
        <v>443</v>
      </c>
      <c r="C638" t="s">
        <v>606</v>
      </c>
      <c r="D638" t="s">
        <v>610</v>
      </c>
      <c r="E638" t="s">
        <v>627</v>
      </c>
      <c r="F638" t="s">
        <v>1246</v>
      </c>
      <c r="G638" t="s">
        <v>1762</v>
      </c>
      <c r="H638" t="s">
        <v>1768</v>
      </c>
      <c r="I638" t="s">
        <v>1773</v>
      </c>
      <c r="J638" t="s">
        <v>1777</v>
      </c>
      <c r="K638">
        <v>12</v>
      </c>
      <c r="L638" s="2">
        <v>901</v>
      </c>
      <c r="M638">
        <v>0.1</v>
      </c>
      <c r="N638" s="2">
        <v>467.29</v>
      </c>
      <c r="O638" s="2">
        <v>9730.7999999999993</v>
      </c>
      <c r="P638" s="2">
        <v>5607.48</v>
      </c>
      <c r="Q638" s="2">
        <v>4123.32</v>
      </c>
      <c r="R638">
        <v>0</v>
      </c>
      <c r="S638" s="2" t="str">
        <f>TEXT(data[[#This Row],[Date]],"mmm yyyy")</f>
        <v>Apr 2025</v>
      </c>
      <c r="T638" s="8">
        <f>data[[#This Row],[Profit]]/data[[#This Row],[Revenue]]</f>
        <v>0.42373905537057588</v>
      </c>
    </row>
    <row r="639" spans="1:20" x14ac:dyDescent="0.3">
      <c r="A639">
        <v>10637</v>
      </c>
      <c r="B639" t="s">
        <v>253</v>
      </c>
      <c r="C639" t="s">
        <v>609</v>
      </c>
      <c r="D639" t="s">
        <v>613</v>
      </c>
      <c r="E639" t="s">
        <v>629</v>
      </c>
      <c r="F639" t="s">
        <v>1247</v>
      </c>
      <c r="G639" t="s">
        <v>1760</v>
      </c>
      <c r="H639" t="s">
        <v>1767</v>
      </c>
      <c r="I639" t="s">
        <v>1774</v>
      </c>
      <c r="J639" t="s">
        <v>1776</v>
      </c>
      <c r="K639">
        <v>10</v>
      </c>
      <c r="L639" s="2">
        <v>188</v>
      </c>
      <c r="M639">
        <v>0.2</v>
      </c>
      <c r="N639" s="2">
        <v>111.38</v>
      </c>
      <c r="O639" s="2">
        <v>1504</v>
      </c>
      <c r="P639" s="2">
        <v>1113.8</v>
      </c>
      <c r="Q639" s="2">
        <v>390.2</v>
      </c>
      <c r="R639">
        <v>0</v>
      </c>
      <c r="S639" s="2" t="str">
        <f>TEXT(data[[#This Row],[Date]],"mmm yyyy")</f>
        <v>Jul 2025</v>
      </c>
      <c r="T639" s="8">
        <f>data[[#This Row],[Profit]]/data[[#This Row],[Revenue]]</f>
        <v>0.25944148936170214</v>
      </c>
    </row>
    <row r="640" spans="1:20" x14ac:dyDescent="0.3">
      <c r="A640">
        <v>10638</v>
      </c>
      <c r="B640" t="s">
        <v>444</v>
      </c>
      <c r="C640" t="s">
        <v>607</v>
      </c>
      <c r="D640" t="s">
        <v>624</v>
      </c>
      <c r="E640" t="s">
        <v>627</v>
      </c>
      <c r="F640" t="s">
        <v>1248</v>
      </c>
      <c r="G640" t="s">
        <v>1766</v>
      </c>
      <c r="H640" t="s">
        <v>1771</v>
      </c>
      <c r="I640" t="s">
        <v>1774</v>
      </c>
      <c r="J640" t="s">
        <v>1777</v>
      </c>
      <c r="K640">
        <v>12</v>
      </c>
      <c r="L640" s="2">
        <v>668</v>
      </c>
      <c r="M640">
        <v>0.2</v>
      </c>
      <c r="N640" s="2">
        <v>412.95</v>
      </c>
      <c r="O640" s="2">
        <v>6412.8</v>
      </c>
      <c r="P640" s="2">
        <v>4955.3999999999996</v>
      </c>
      <c r="Q640" s="2">
        <v>1457.4</v>
      </c>
      <c r="R640">
        <v>0</v>
      </c>
      <c r="S640" s="2" t="str">
        <f>TEXT(data[[#This Row],[Date]],"mmm yyyy")</f>
        <v>Jul 2024</v>
      </c>
      <c r="T640" s="8">
        <f>data[[#This Row],[Profit]]/data[[#This Row],[Revenue]]</f>
        <v>0.22726422155688625</v>
      </c>
    </row>
    <row r="641" spans="1:20" x14ac:dyDescent="0.3">
      <c r="A641">
        <v>10639</v>
      </c>
      <c r="B641" t="s">
        <v>43</v>
      </c>
      <c r="C641" t="s">
        <v>608</v>
      </c>
      <c r="D641" t="s">
        <v>612</v>
      </c>
      <c r="E641" t="s">
        <v>626</v>
      </c>
      <c r="F641" t="s">
        <v>1249</v>
      </c>
      <c r="G641" t="s">
        <v>1764</v>
      </c>
      <c r="H641" t="s">
        <v>1771</v>
      </c>
      <c r="I641" t="s">
        <v>1774</v>
      </c>
      <c r="J641" t="s">
        <v>1777</v>
      </c>
      <c r="K641">
        <v>7</v>
      </c>
      <c r="L641" s="2">
        <v>481</v>
      </c>
      <c r="M641">
        <v>0.2</v>
      </c>
      <c r="N641" s="2">
        <v>296.64999999999998</v>
      </c>
      <c r="O641" s="2">
        <v>2693.6</v>
      </c>
      <c r="P641" s="2">
        <v>2076.5500000000002</v>
      </c>
      <c r="Q641" s="2">
        <v>617.04999999999995</v>
      </c>
      <c r="R641">
        <v>0</v>
      </c>
      <c r="S641" s="2" t="str">
        <f>TEXT(data[[#This Row],[Date]],"mmm yyyy")</f>
        <v>Dec 2024</v>
      </c>
      <c r="T641" s="8">
        <f>data[[#This Row],[Profit]]/data[[#This Row],[Revenue]]</f>
        <v>0.22908004158004158</v>
      </c>
    </row>
    <row r="642" spans="1:20" x14ac:dyDescent="0.3">
      <c r="A642">
        <v>10640</v>
      </c>
      <c r="B642" t="s">
        <v>83</v>
      </c>
      <c r="C642" t="s">
        <v>606</v>
      </c>
      <c r="D642" t="s">
        <v>616</v>
      </c>
      <c r="E642" t="s">
        <v>627</v>
      </c>
      <c r="F642" t="s">
        <v>1250</v>
      </c>
      <c r="G642" t="s">
        <v>1763</v>
      </c>
      <c r="H642" t="s">
        <v>1769</v>
      </c>
      <c r="I642" t="s">
        <v>1775</v>
      </c>
      <c r="J642" t="s">
        <v>1776</v>
      </c>
      <c r="K642">
        <v>2</v>
      </c>
      <c r="L642" s="2">
        <v>180</v>
      </c>
      <c r="M642">
        <v>0</v>
      </c>
      <c r="N642" s="2">
        <v>110.83</v>
      </c>
      <c r="O642" s="2">
        <v>360</v>
      </c>
      <c r="P642" s="2">
        <v>221.66</v>
      </c>
      <c r="Q642" s="2">
        <v>138.34</v>
      </c>
      <c r="R642">
        <v>0</v>
      </c>
      <c r="S642" s="2" t="str">
        <f>TEXT(data[[#This Row],[Date]],"mmm yyyy")</f>
        <v>Aug 2025</v>
      </c>
      <c r="T642" s="8">
        <f>data[[#This Row],[Profit]]/data[[#This Row],[Revenue]]</f>
        <v>0.38427777777777777</v>
      </c>
    </row>
    <row r="643" spans="1:20" x14ac:dyDescent="0.3">
      <c r="A643">
        <v>10641</v>
      </c>
      <c r="B643" t="s">
        <v>445</v>
      </c>
      <c r="C643" t="s">
        <v>608</v>
      </c>
      <c r="D643" t="s">
        <v>615</v>
      </c>
      <c r="E643" t="s">
        <v>627</v>
      </c>
      <c r="F643" t="s">
        <v>1251</v>
      </c>
      <c r="G643" t="s">
        <v>1761</v>
      </c>
      <c r="H643" t="s">
        <v>1769</v>
      </c>
      <c r="I643" t="s">
        <v>1775</v>
      </c>
      <c r="J643" t="s">
        <v>1779</v>
      </c>
      <c r="K643">
        <v>18</v>
      </c>
      <c r="L643" s="2">
        <v>385</v>
      </c>
      <c r="M643">
        <v>0.1</v>
      </c>
      <c r="N643" s="2">
        <v>255.43</v>
      </c>
      <c r="O643" s="2">
        <v>6237</v>
      </c>
      <c r="P643" s="2">
        <v>4597.74</v>
      </c>
      <c r="Q643" s="2">
        <v>1639.26</v>
      </c>
      <c r="R643">
        <v>1</v>
      </c>
      <c r="S643" s="2" t="str">
        <f>TEXT(data[[#This Row],[Date]],"mmm yyyy")</f>
        <v>May 2024</v>
      </c>
      <c r="T643" s="8">
        <f>data[[#This Row],[Profit]]/data[[#This Row],[Revenue]]</f>
        <v>0.2628282828282828</v>
      </c>
    </row>
    <row r="644" spans="1:20" x14ac:dyDescent="0.3">
      <c r="A644">
        <v>10642</v>
      </c>
      <c r="B644" t="s">
        <v>446</v>
      </c>
      <c r="C644" t="s">
        <v>609</v>
      </c>
      <c r="D644" t="s">
        <v>622</v>
      </c>
      <c r="E644" t="s">
        <v>628</v>
      </c>
      <c r="F644" t="s">
        <v>1252</v>
      </c>
      <c r="G644" t="s">
        <v>1764</v>
      </c>
      <c r="H644" t="s">
        <v>1767</v>
      </c>
      <c r="I644" t="s">
        <v>1775</v>
      </c>
      <c r="J644" t="s">
        <v>1779</v>
      </c>
      <c r="K644">
        <v>2</v>
      </c>
      <c r="L644" s="2">
        <v>115</v>
      </c>
      <c r="M644">
        <v>0.2</v>
      </c>
      <c r="N644" s="2">
        <v>61.7</v>
      </c>
      <c r="O644" s="2">
        <v>184</v>
      </c>
      <c r="P644" s="2">
        <v>123.4</v>
      </c>
      <c r="Q644" s="2">
        <v>60.6</v>
      </c>
      <c r="R644">
        <v>0</v>
      </c>
      <c r="S644" s="2" t="str">
        <f>TEXT(data[[#This Row],[Date]],"mmm yyyy")</f>
        <v>May 2025</v>
      </c>
      <c r="T644" s="8">
        <f>data[[#This Row],[Profit]]/data[[#This Row],[Revenue]]</f>
        <v>0.32934782608695651</v>
      </c>
    </row>
    <row r="645" spans="1:20" x14ac:dyDescent="0.3">
      <c r="A645">
        <v>10643</v>
      </c>
      <c r="B645" t="s">
        <v>87</v>
      </c>
      <c r="C645" t="s">
        <v>606</v>
      </c>
      <c r="D645" t="s">
        <v>616</v>
      </c>
      <c r="E645" t="s">
        <v>629</v>
      </c>
      <c r="F645" t="s">
        <v>1253</v>
      </c>
      <c r="G645" t="s">
        <v>1766</v>
      </c>
      <c r="H645" t="s">
        <v>1769</v>
      </c>
      <c r="I645" t="s">
        <v>1773</v>
      </c>
      <c r="J645" t="s">
        <v>1778</v>
      </c>
      <c r="K645">
        <v>2</v>
      </c>
      <c r="L645" s="2">
        <v>293</v>
      </c>
      <c r="M645">
        <v>0.2</v>
      </c>
      <c r="N645" s="2">
        <v>160.44999999999999</v>
      </c>
      <c r="O645" s="2">
        <v>468.8</v>
      </c>
      <c r="P645" s="2">
        <v>320.89999999999998</v>
      </c>
      <c r="Q645" s="2">
        <v>147.9</v>
      </c>
      <c r="R645">
        <v>0</v>
      </c>
      <c r="S645" s="2" t="str">
        <f>TEXT(data[[#This Row],[Date]],"mmm yyyy")</f>
        <v>Jul 2025</v>
      </c>
      <c r="T645" s="8">
        <f>data[[#This Row],[Profit]]/data[[#This Row],[Revenue]]</f>
        <v>0.31548634812286691</v>
      </c>
    </row>
    <row r="646" spans="1:20" x14ac:dyDescent="0.3">
      <c r="A646">
        <v>10644</v>
      </c>
      <c r="B646" t="s">
        <v>119</v>
      </c>
      <c r="C646" t="s">
        <v>606</v>
      </c>
      <c r="D646" t="s">
        <v>610</v>
      </c>
      <c r="E646" t="s">
        <v>628</v>
      </c>
      <c r="F646" t="s">
        <v>1254</v>
      </c>
      <c r="G646" t="s">
        <v>1766</v>
      </c>
      <c r="H646" t="s">
        <v>1772</v>
      </c>
      <c r="I646" t="s">
        <v>1775</v>
      </c>
      <c r="J646" t="s">
        <v>1777</v>
      </c>
      <c r="K646">
        <v>7</v>
      </c>
      <c r="L646" s="2">
        <v>943</v>
      </c>
      <c r="M646">
        <v>0.1</v>
      </c>
      <c r="N646" s="2">
        <v>597.99</v>
      </c>
      <c r="O646" s="2">
        <v>5940.9</v>
      </c>
      <c r="P646" s="2">
        <v>4185.93</v>
      </c>
      <c r="Q646" s="2">
        <v>1754.97</v>
      </c>
      <c r="R646">
        <v>0</v>
      </c>
      <c r="S646" s="2" t="str">
        <f>TEXT(data[[#This Row],[Date]],"mmm yyyy")</f>
        <v>Oct 2024</v>
      </c>
      <c r="T646" s="8">
        <f>data[[#This Row],[Profit]]/data[[#This Row],[Revenue]]</f>
        <v>0.29540473665606226</v>
      </c>
    </row>
    <row r="647" spans="1:20" x14ac:dyDescent="0.3">
      <c r="A647">
        <v>10645</v>
      </c>
      <c r="B647" t="s">
        <v>447</v>
      </c>
      <c r="C647" t="s">
        <v>607</v>
      </c>
      <c r="D647" t="s">
        <v>617</v>
      </c>
      <c r="E647" t="s">
        <v>629</v>
      </c>
      <c r="F647" t="s">
        <v>1255</v>
      </c>
      <c r="G647" t="s">
        <v>1765</v>
      </c>
      <c r="H647" t="s">
        <v>1770</v>
      </c>
      <c r="I647" t="s">
        <v>1774</v>
      </c>
      <c r="J647" t="s">
        <v>1778</v>
      </c>
      <c r="K647">
        <v>14</v>
      </c>
      <c r="L647" s="2">
        <v>839</v>
      </c>
      <c r="M647">
        <v>0</v>
      </c>
      <c r="N647" s="2">
        <v>481.54</v>
      </c>
      <c r="O647" s="2">
        <v>11746</v>
      </c>
      <c r="P647" s="2">
        <v>6741.56</v>
      </c>
      <c r="Q647" s="2">
        <v>5004.4399999999996</v>
      </c>
      <c r="R647">
        <v>1</v>
      </c>
      <c r="S647" s="2" t="str">
        <f>TEXT(data[[#This Row],[Date]],"mmm yyyy")</f>
        <v>May 2024</v>
      </c>
      <c r="T647" s="8">
        <f>data[[#This Row],[Profit]]/data[[#This Row],[Revenue]]</f>
        <v>0.42605482717520854</v>
      </c>
    </row>
    <row r="648" spans="1:20" x14ac:dyDescent="0.3">
      <c r="A648">
        <v>10646</v>
      </c>
      <c r="B648" t="s">
        <v>448</v>
      </c>
      <c r="C648" t="s">
        <v>608</v>
      </c>
      <c r="D648" t="s">
        <v>618</v>
      </c>
      <c r="E648" t="s">
        <v>626</v>
      </c>
      <c r="F648" t="s">
        <v>1256</v>
      </c>
      <c r="G648" t="s">
        <v>1763</v>
      </c>
      <c r="H648" t="s">
        <v>1771</v>
      </c>
      <c r="I648" t="s">
        <v>1774</v>
      </c>
      <c r="J648" t="s">
        <v>1779</v>
      </c>
      <c r="K648">
        <v>15</v>
      </c>
      <c r="L648" s="2">
        <v>393</v>
      </c>
      <c r="M648">
        <v>0.05</v>
      </c>
      <c r="N648" s="2">
        <v>265.33999999999997</v>
      </c>
      <c r="O648" s="2">
        <v>5600.25</v>
      </c>
      <c r="P648" s="2">
        <v>3980.1</v>
      </c>
      <c r="Q648" s="2">
        <v>1620.15</v>
      </c>
      <c r="R648">
        <v>0</v>
      </c>
      <c r="S648" s="2" t="str">
        <f>TEXT(data[[#This Row],[Date]],"mmm yyyy")</f>
        <v>Mar 2024</v>
      </c>
      <c r="T648" s="8">
        <f>data[[#This Row],[Profit]]/data[[#This Row],[Revenue]]</f>
        <v>0.28929958483996254</v>
      </c>
    </row>
    <row r="649" spans="1:20" x14ac:dyDescent="0.3">
      <c r="A649">
        <v>10647</v>
      </c>
      <c r="B649" t="s">
        <v>386</v>
      </c>
      <c r="C649" t="s">
        <v>609</v>
      </c>
      <c r="D649" t="s">
        <v>623</v>
      </c>
      <c r="E649" t="s">
        <v>629</v>
      </c>
      <c r="F649" t="s">
        <v>1257</v>
      </c>
      <c r="G649" t="s">
        <v>1762</v>
      </c>
      <c r="H649" t="s">
        <v>1767</v>
      </c>
      <c r="I649" t="s">
        <v>1773</v>
      </c>
      <c r="J649" t="s">
        <v>1777</v>
      </c>
      <c r="K649">
        <v>4</v>
      </c>
      <c r="L649" s="2">
        <v>175</v>
      </c>
      <c r="M649">
        <v>0</v>
      </c>
      <c r="N649" s="2">
        <v>91.37</v>
      </c>
      <c r="O649" s="2">
        <v>700</v>
      </c>
      <c r="P649" s="2">
        <v>365.48</v>
      </c>
      <c r="Q649" s="2">
        <v>334.52</v>
      </c>
      <c r="R649">
        <v>0</v>
      </c>
      <c r="S649" s="2" t="str">
        <f>TEXT(data[[#This Row],[Date]],"mmm yyyy")</f>
        <v>Jan 2025</v>
      </c>
      <c r="T649" s="8">
        <f>data[[#This Row],[Profit]]/data[[#This Row],[Revenue]]</f>
        <v>0.47788571428571425</v>
      </c>
    </row>
    <row r="650" spans="1:20" x14ac:dyDescent="0.3">
      <c r="A650">
        <v>10648</v>
      </c>
      <c r="B650" t="s">
        <v>449</v>
      </c>
      <c r="C650" t="s">
        <v>608</v>
      </c>
      <c r="D650" t="s">
        <v>614</v>
      </c>
      <c r="E650" t="s">
        <v>628</v>
      </c>
      <c r="F650" t="s">
        <v>1258</v>
      </c>
      <c r="G650" t="s">
        <v>1765</v>
      </c>
      <c r="H650" t="s">
        <v>1770</v>
      </c>
      <c r="I650" t="s">
        <v>1773</v>
      </c>
      <c r="J650" t="s">
        <v>1778</v>
      </c>
      <c r="K650">
        <v>8</v>
      </c>
      <c r="L650" s="2">
        <v>921</v>
      </c>
      <c r="M650">
        <v>0.1</v>
      </c>
      <c r="N650" s="2">
        <v>682.11</v>
      </c>
      <c r="O650" s="2">
        <v>6631.2</v>
      </c>
      <c r="P650" s="2">
        <v>5456.88</v>
      </c>
      <c r="Q650" s="2">
        <v>1174.32</v>
      </c>
      <c r="R650">
        <v>1</v>
      </c>
      <c r="S650" s="2" t="str">
        <f>TEXT(data[[#This Row],[Date]],"mmm yyyy")</f>
        <v>Jun 2024</v>
      </c>
      <c r="T650" s="8">
        <f>data[[#This Row],[Profit]]/data[[#This Row],[Revenue]]</f>
        <v>0.17709011943539629</v>
      </c>
    </row>
    <row r="651" spans="1:20" x14ac:dyDescent="0.3">
      <c r="A651">
        <v>10649</v>
      </c>
      <c r="B651" t="s">
        <v>88</v>
      </c>
      <c r="C651" t="s">
        <v>606</v>
      </c>
      <c r="D651" t="s">
        <v>625</v>
      </c>
      <c r="E651" t="s">
        <v>628</v>
      </c>
      <c r="F651" t="s">
        <v>1259</v>
      </c>
      <c r="G651" t="s">
        <v>1759</v>
      </c>
      <c r="H651" t="s">
        <v>1769</v>
      </c>
      <c r="I651" t="s">
        <v>1773</v>
      </c>
      <c r="J651" t="s">
        <v>1778</v>
      </c>
      <c r="K651">
        <v>14</v>
      </c>
      <c r="L651" s="2">
        <v>310</v>
      </c>
      <c r="M651">
        <v>0.05</v>
      </c>
      <c r="N651" s="2">
        <v>187.92</v>
      </c>
      <c r="O651" s="2">
        <v>4123</v>
      </c>
      <c r="P651" s="2">
        <v>2630.88</v>
      </c>
      <c r="Q651" s="2">
        <v>1492.12</v>
      </c>
      <c r="R651">
        <v>0</v>
      </c>
      <c r="S651" s="2" t="str">
        <f>TEXT(data[[#This Row],[Date]],"mmm yyyy")</f>
        <v>Nov 2025</v>
      </c>
      <c r="T651" s="8">
        <f>data[[#This Row],[Profit]]/data[[#This Row],[Revenue]]</f>
        <v>0.36190152801358233</v>
      </c>
    </row>
    <row r="652" spans="1:20" x14ac:dyDescent="0.3">
      <c r="A652">
        <v>10650</v>
      </c>
      <c r="B652" t="s">
        <v>450</v>
      </c>
      <c r="C652" t="s">
        <v>607</v>
      </c>
      <c r="D652" t="s">
        <v>617</v>
      </c>
      <c r="E652" t="s">
        <v>627</v>
      </c>
      <c r="F652" t="s">
        <v>1260</v>
      </c>
      <c r="G652" t="s">
        <v>1760</v>
      </c>
      <c r="H652" t="s">
        <v>1769</v>
      </c>
      <c r="I652" t="s">
        <v>1773</v>
      </c>
      <c r="J652" t="s">
        <v>1777</v>
      </c>
      <c r="K652">
        <v>9</v>
      </c>
      <c r="L652" s="2">
        <v>483</v>
      </c>
      <c r="M652">
        <v>0</v>
      </c>
      <c r="N652" s="2">
        <v>341.81</v>
      </c>
      <c r="O652" s="2">
        <v>4347</v>
      </c>
      <c r="P652" s="2">
        <v>3076.29</v>
      </c>
      <c r="Q652" s="2">
        <v>1270.71</v>
      </c>
      <c r="R652">
        <v>0</v>
      </c>
      <c r="S652" s="2" t="str">
        <f>TEXT(data[[#This Row],[Date]],"mmm yyyy")</f>
        <v>Oct 2025</v>
      </c>
      <c r="T652" s="8">
        <f>data[[#This Row],[Profit]]/data[[#This Row],[Revenue]]</f>
        <v>0.29231884057971014</v>
      </c>
    </row>
    <row r="653" spans="1:20" x14ac:dyDescent="0.3">
      <c r="A653">
        <v>10651</v>
      </c>
      <c r="B653" t="s">
        <v>451</v>
      </c>
      <c r="C653" t="s">
        <v>607</v>
      </c>
      <c r="D653" t="s">
        <v>621</v>
      </c>
      <c r="E653" t="s">
        <v>627</v>
      </c>
      <c r="F653" t="s">
        <v>1261</v>
      </c>
      <c r="G653" t="s">
        <v>1760</v>
      </c>
      <c r="H653" t="s">
        <v>1767</v>
      </c>
      <c r="I653" t="s">
        <v>1774</v>
      </c>
      <c r="J653" t="s">
        <v>1776</v>
      </c>
      <c r="K653">
        <v>17</v>
      </c>
      <c r="L653" s="2">
        <v>127</v>
      </c>
      <c r="M653">
        <v>0.1</v>
      </c>
      <c r="N653" s="2">
        <v>69.66</v>
      </c>
      <c r="O653" s="2">
        <v>1943.1</v>
      </c>
      <c r="P653" s="2">
        <v>1184.22</v>
      </c>
      <c r="Q653" s="2">
        <v>758.88</v>
      </c>
      <c r="R653">
        <v>0</v>
      </c>
      <c r="S653" s="2" t="str">
        <f>TEXT(data[[#This Row],[Date]],"mmm yyyy")</f>
        <v>Aug 2024</v>
      </c>
      <c r="T653" s="8">
        <f>data[[#This Row],[Profit]]/data[[#This Row],[Revenue]]</f>
        <v>0.3905511811023622</v>
      </c>
    </row>
    <row r="654" spans="1:20" x14ac:dyDescent="0.3">
      <c r="A654">
        <v>10652</v>
      </c>
      <c r="B654" t="s">
        <v>117</v>
      </c>
      <c r="C654" t="s">
        <v>607</v>
      </c>
      <c r="D654" t="s">
        <v>617</v>
      </c>
      <c r="E654" t="s">
        <v>626</v>
      </c>
      <c r="F654" t="s">
        <v>1262</v>
      </c>
      <c r="G654" t="s">
        <v>1760</v>
      </c>
      <c r="H654" t="s">
        <v>1768</v>
      </c>
      <c r="I654" t="s">
        <v>1775</v>
      </c>
      <c r="J654" t="s">
        <v>1778</v>
      </c>
      <c r="K654">
        <v>16</v>
      </c>
      <c r="L654" s="2">
        <v>1326</v>
      </c>
      <c r="M654">
        <v>0.1</v>
      </c>
      <c r="N654" s="2">
        <v>974.78</v>
      </c>
      <c r="O654" s="2">
        <v>19094.400000000001</v>
      </c>
      <c r="P654" s="2">
        <v>15596.48</v>
      </c>
      <c r="Q654" s="2">
        <v>3497.92</v>
      </c>
      <c r="R654">
        <v>1</v>
      </c>
      <c r="S654" s="2" t="str">
        <f>TEXT(data[[#This Row],[Date]],"mmm yyyy")</f>
        <v>Dec 2025</v>
      </c>
      <c r="T654" s="8">
        <f>data[[#This Row],[Profit]]/data[[#This Row],[Revenue]]</f>
        <v>0.18319088319088317</v>
      </c>
    </row>
    <row r="655" spans="1:20" x14ac:dyDescent="0.3">
      <c r="A655">
        <v>10653</v>
      </c>
      <c r="B655" t="s">
        <v>452</v>
      </c>
      <c r="C655" t="s">
        <v>609</v>
      </c>
      <c r="D655" t="s">
        <v>623</v>
      </c>
      <c r="E655" t="s">
        <v>626</v>
      </c>
      <c r="F655" t="s">
        <v>1127</v>
      </c>
      <c r="G655" t="s">
        <v>1765</v>
      </c>
      <c r="H655" t="s">
        <v>1771</v>
      </c>
      <c r="I655" t="s">
        <v>1774</v>
      </c>
      <c r="J655" t="s">
        <v>1776</v>
      </c>
      <c r="K655">
        <v>13</v>
      </c>
      <c r="L655" s="2">
        <v>695</v>
      </c>
      <c r="M655">
        <v>0.2</v>
      </c>
      <c r="N655" s="2">
        <v>356.88</v>
      </c>
      <c r="O655" s="2">
        <v>7228</v>
      </c>
      <c r="P655" s="2">
        <v>4639.4399999999996</v>
      </c>
      <c r="Q655" s="2">
        <v>2588.56</v>
      </c>
      <c r="R655">
        <v>0</v>
      </c>
      <c r="S655" s="2" t="str">
        <f>TEXT(data[[#This Row],[Date]],"mmm yyyy")</f>
        <v>Jul 2025</v>
      </c>
      <c r="T655" s="8">
        <f>data[[#This Row],[Profit]]/data[[#This Row],[Revenue]]</f>
        <v>0.35812949640287767</v>
      </c>
    </row>
    <row r="656" spans="1:20" x14ac:dyDescent="0.3">
      <c r="A656">
        <v>10654</v>
      </c>
      <c r="B656" t="s">
        <v>294</v>
      </c>
      <c r="C656" t="s">
        <v>607</v>
      </c>
      <c r="D656" t="s">
        <v>624</v>
      </c>
      <c r="E656" t="s">
        <v>627</v>
      </c>
      <c r="F656" t="s">
        <v>1263</v>
      </c>
      <c r="G656" t="s">
        <v>1763</v>
      </c>
      <c r="H656" t="s">
        <v>1771</v>
      </c>
      <c r="I656" t="s">
        <v>1775</v>
      </c>
      <c r="J656" t="s">
        <v>1776</v>
      </c>
      <c r="K656">
        <v>20</v>
      </c>
      <c r="L656" s="2">
        <v>413</v>
      </c>
      <c r="M656">
        <v>0</v>
      </c>
      <c r="N656" s="2">
        <v>308.83</v>
      </c>
      <c r="O656" s="2">
        <v>8260</v>
      </c>
      <c r="P656" s="2">
        <v>6176.6</v>
      </c>
      <c r="Q656" s="2">
        <v>2083.4</v>
      </c>
      <c r="R656">
        <v>1</v>
      </c>
      <c r="S656" s="2" t="str">
        <f>TEXT(data[[#This Row],[Date]],"mmm yyyy")</f>
        <v>Jun 2025</v>
      </c>
      <c r="T656" s="8">
        <f>data[[#This Row],[Profit]]/data[[#This Row],[Revenue]]</f>
        <v>0.252227602905569</v>
      </c>
    </row>
    <row r="657" spans="1:20" x14ac:dyDescent="0.3">
      <c r="A657">
        <v>10655</v>
      </c>
      <c r="B657" t="s">
        <v>283</v>
      </c>
      <c r="C657" t="s">
        <v>608</v>
      </c>
      <c r="D657" t="s">
        <v>615</v>
      </c>
      <c r="E657" t="s">
        <v>626</v>
      </c>
      <c r="F657" t="s">
        <v>1264</v>
      </c>
      <c r="G657" t="s">
        <v>1765</v>
      </c>
      <c r="H657" t="s">
        <v>1768</v>
      </c>
      <c r="I657" t="s">
        <v>1775</v>
      </c>
      <c r="J657" t="s">
        <v>1779</v>
      </c>
      <c r="K657">
        <v>4</v>
      </c>
      <c r="L657" s="2">
        <v>1021</v>
      </c>
      <c r="M657">
        <v>0.15</v>
      </c>
      <c r="N657" s="2">
        <v>712.97</v>
      </c>
      <c r="O657" s="2">
        <v>3471.4</v>
      </c>
      <c r="P657" s="2">
        <v>2851.88</v>
      </c>
      <c r="Q657" s="2">
        <v>619.52</v>
      </c>
      <c r="R657">
        <v>1</v>
      </c>
      <c r="S657" s="2" t="str">
        <f>TEXT(data[[#This Row],[Date]],"mmm yyyy")</f>
        <v>Aug 2024</v>
      </c>
      <c r="T657" s="8">
        <f>data[[#This Row],[Profit]]/data[[#This Row],[Revenue]]</f>
        <v>0.1784640202800023</v>
      </c>
    </row>
    <row r="658" spans="1:20" x14ac:dyDescent="0.3">
      <c r="A658">
        <v>10656</v>
      </c>
      <c r="B658" t="s">
        <v>453</v>
      </c>
      <c r="C658" t="s">
        <v>609</v>
      </c>
      <c r="D658" t="s">
        <v>619</v>
      </c>
      <c r="E658" t="s">
        <v>628</v>
      </c>
      <c r="F658" t="s">
        <v>1265</v>
      </c>
      <c r="G658" t="s">
        <v>1761</v>
      </c>
      <c r="H658" t="s">
        <v>1769</v>
      </c>
      <c r="I658" t="s">
        <v>1773</v>
      </c>
      <c r="J658" t="s">
        <v>1778</v>
      </c>
      <c r="K658">
        <v>15</v>
      </c>
      <c r="L658" s="2">
        <v>301</v>
      </c>
      <c r="M658">
        <v>0</v>
      </c>
      <c r="N658" s="2">
        <v>180.39</v>
      </c>
      <c r="O658" s="2">
        <v>4515</v>
      </c>
      <c r="P658" s="2">
        <v>2705.85</v>
      </c>
      <c r="Q658" s="2">
        <v>1809.15</v>
      </c>
      <c r="R658">
        <v>0</v>
      </c>
      <c r="S658" s="2" t="str">
        <f>TEXT(data[[#This Row],[Date]],"mmm yyyy")</f>
        <v>Sep 2024</v>
      </c>
      <c r="T658" s="8">
        <f>data[[#This Row],[Profit]]/data[[#This Row],[Revenue]]</f>
        <v>0.40069767441860465</v>
      </c>
    </row>
    <row r="659" spans="1:20" x14ac:dyDescent="0.3">
      <c r="A659">
        <v>10657</v>
      </c>
      <c r="B659" t="s">
        <v>120</v>
      </c>
      <c r="C659" t="s">
        <v>609</v>
      </c>
      <c r="D659" t="s">
        <v>619</v>
      </c>
      <c r="E659" t="s">
        <v>627</v>
      </c>
      <c r="F659" t="s">
        <v>1266</v>
      </c>
      <c r="G659" t="s">
        <v>1760</v>
      </c>
      <c r="H659" t="s">
        <v>1769</v>
      </c>
      <c r="I659" t="s">
        <v>1773</v>
      </c>
      <c r="J659" t="s">
        <v>1779</v>
      </c>
      <c r="K659">
        <v>15</v>
      </c>
      <c r="L659" s="2">
        <v>448</v>
      </c>
      <c r="M659">
        <v>0.15</v>
      </c>
      <c r="N659" s="2">
        <v>256.66000000000003</v>
      </c>
      <c r="O659" s="2">
        <v>5712</v>
      </c>
      <c r="P659" s="2">
        <v>3849.9</v>
      </c>
      <c r="Q659" s="2">
        <v>1862.1</v>
      </c>
      <c r="R659">
        <v>1</v>
      </c>
      <c r="S659" s="2" t="str">
        <f>TEXT(data[[#This Row],[Date]],"mmm yyyy")</f>
        <v>Nov 2025</v>
      </c>
      <c r="T659" s="8">
        <f>data[[#This Row],[Profit]]/data[[#This Row],[Revenue]]</f>
        <v>0.32599789915966387</v>
      </c>
    </row>
    <row r="660" spans="1:20" x14ac:dyDescent="0.3">
      <c r="A660">
        <v>10658</v>
      </c>
      <c r="B660" t="s">
        <v>295</v>
      </c>
      <c r="C660" t="s">
        <v>609</v>
      </c>
      <c r="D660" t="s">
        <v>613</v>
      </c>
      <c r="E660" t="s">
        <v>628</v>
      </c>
      <c r="F660" t="s">
        <v>1267</v>
      </c>
      <c r="G660" t="s">
        <v>1766</v>
      </c>
      <c r="H660" t="s">
        <v>1768</v>
      </c>
      <c r="I660" t="s">
        <v>1774</v>
      </c>
      <c r="J660" t="s">
        <v>1776</v>
      </c>
      <c r="K660">
        <v>19</v>
      </c>
      <c r="L660" s="2">
        <v>837</v>
      </c>
      <c r="M660">
        <v>0.05</v>
      </c>
      <c r="N660" s="2">
        <v>437.83</v>
      </c>
      <c r="O660" s="2">
        <v>15107.85</v>
      </c>
      <c r="P660" s="2">
        <v>8318.77</v>
      </c>
      <c r="Q660" s="2">
        <v>6789.08</v>
      </c>
      <c r="R660">
        <v>0</v>
      </c>
      <c r="S660" s="2" t="str">
        <f>TEXT(data[[#This Row],[Date]],"mmm yyyy")</f>
        <v>Nov 2025</v>
      </c>
      <c r="T660" s="8">
        <f>data[[#This Row],[Profit]]/data[[#This Row],[Revenue]]</f>
        <v>0.44937433188706533</v>
      </c>
    </row>
    <row r="661" spans="1:20" x14ac:dyDescent="0.3">
      <c r="A661">
        <v>10659</v>
      </c>
      <c r="B661" t="s">
        <v>269</v>
      </c>
      <c r="C661" t="s">
        <v>607</v>
      </c>
      <c r="D661" t="s">
        <v>611</v>
      </c>
      <c r="E661" t="s">
        <v>626</v>
      </c>
      <c r="F661" t="s">
        <v>1268</v>
      </c>
      <c r="G661" t="s">
        <v>1764</v>
      </c>
      <c r="H661" t="s">
        <v>1771</v>
      </c>
      <c r="I661" t="s">
        <v>1775</v>
      </c>
      <c r="J661" t="s">
        <v>1778</v>
      </c>
      <c r="K661">
        <v>6</v>
      </c>
      <c r="L661" s="2">
        <v>510</v>
      </c>
      <c r="M661">
        <v>0</v>
      </c>
      <c r="N661" s="2">
        <v>354.39</v>
      </c>
      <c r="O661" s="2">
        <v>3060</v>
      </c>
      <c r="P661" s="2">
        <v>2126.34</v>
      </c>
      <c r="Q661" s="2">
        <v>933.66</v>
      </c>
      <c r="R661">
        <v>1</v>
      </c>
      <c r="S661" s="2" t="str">
        <f>TEXT(data[[#This Row],[Date]],"mmm yyyy")</f>
        <v>Oct 2025</v>
      </c>
      <c r="T661" s="8">
        <f>data[[#This Row],[Profit]]/data[[#This Row],[Revenue]]</f>
        <v>0.30511764705882349</v>
      </c>
    </row>
    <row r="662" spans="1:20" x14ac:dyDescent="0.3">
      <c r="A662">
        <v>10660</v>
      </c>
      <c r="B662" t="s">
        <v>242</v>
      </c>
      <c r="C662" t="s">
        <v>609</v>
      </c>
      <c r="D662" t="s">
        <v>622</v>
      </c>
      <c r="E662" t="s">
        <v>628</v>
      </c>
      <c r="F662" t="s">
        <v>1269</v>
      </c>
      <c r="G662" t="s">
        <v>1764</v>
      </c>
      <c r="H662" t="s">
        <v>1769</v>
      </c>
      <c r="I662" t="s">
        <v>1773</v>
      </c>
      <c r="J662" t="s">
        <v>1777</v>
      </c>
      <c r="K662">
        <v>20</v>
      </c>
      <c r="L662" s="2">
        <v>426</v>
      </c>
      <c r="M662">
        <v>0.05</v>
      </c>
      <c r="N662" s="2">
        <v>251.61</v>
      </c>
      <c r="O662" s="2">
        <v>8094</v>
      </c>
      <c r="P662" s="2">
        <v>5032.2</v>
      </c>
      <c r="Q662" s="2">
        <v>3061.8</v>
      </c>
      <c r="R662">
        <v>1</v>
      </c>
      <c r="S662" s="2" t="str">
        <f>TEXT(data[[#This Row],[Date]],"mmm yyyy")</f>
        <v>Jul 2024</v>
      </c>
      <c r="T662" s="8">
        <f>data[[#This Row],[Profit]]/data[[#This Row],[Revenue]]</f>
        <v>0.37828020756115643</v>
      </c>
    </row>
    <row r="663" spans="1:20" x14ac:dyDescent="0.3">
      <c r="A663">
        <v>10661</v>
      </c>
      <c r="B663" t="s">
        <v>454</v>
      </c>
      <c r="C663" t="s">
        <v>606</v>
      </c>
      <c r="D663" t="s">
        <v>610</v>
      </c>
      <c r="E663" t="s">
        <v>627</v>
      </c>
      <c r="F663" t="s">
        <v>1270</v>
      </c>
      <c r="G663" t="s">
        <v>1763</v>
      </c>
      <c r="H663" t="s">
        <v>1767</v>
      </c>
      <c r="I663" t="s">
        <v>1774</v>
      </c>
      <c r="J663" t="s">
        <v>1779</v>
      </c>
      <c r="K663">
        <v>10</v>
      </c>
      <c r="L663" s="2">
        <v>186</v>
      </c>
      <c r="M663">
        <v>0.15</v>
      </c>
      <c r="N663" s="2">
        <v>111.22</v>
      </c>
      <c r="O663" s="2">
        <v>1581</v>
      </c>
      <c r="P663" s="2">
        <v>1112.2</v>
      </c>
      <c r="Q663" s="2">
        <v>468.8</v>
      </c>
      <c r="R663">
        <v>1</v>
      </c>
      <c r="S663" s="2" t="str">
        <f>TEXT(data[[#This Row],[Date]],"mmm yyyy")</f>
        <v>Feb 2025</v>
      </c>
      <c r="T663" s="8">
        <f>data[[#This Row],[Profit]]/data[[#This Row],[Revenue]]</f>
        <v>0.2965211891208096</v>
      </c>
    </row>
    <row r="664" spans="1:20" x14ac:dyDescent="0.3">
      <c r="A664">
        <v>10662</v>
      </c>
      <c r="B664" t="s">
        <v>455</v>
      </c>
      <c r="C664" t="s">
        <v>606</v>
      </c>
      <c r="D664" t="s">
        <v>616</v>
      </c>
      <c r="E664" t="s">
        <v>627</v>
      </c>
      <c r="F664" t="s">
        <v>1271</v>
      </c>
      <c r="G664" t="s">
        <v>1761</v>
      </c>
      <c r="H664" t="s">
        <v>1768</v>
      </c>
      <c r="I664" t="s">
        <v>1773</v>
      </c>
      <c r="J664" t="s">
        <v>1778</v>
      </c>
      <c r="K664">
        <v>12</v>
      </c>
      <c r="L664" s="2">
        <v>1019</v>
      </c>
      <c r="M664">
        <v>0.1</v>
      </c>
      <c r="N664" s="2">
        <v>710</v>
      </c>
      <c r="O664" s="2">
        <v>11005.2</v>
      </c>
      <c r="P664" s="2">
        <v>8520</v>
      </c>
      <c r="Q664" s="2">
        <v>2485.1999999999998</v>
      </c>
      <c r="R664">
        <v>0</v>
      </c>
      <c r="S664" s="2" t="str">
        <f>TEXT(data[[#This Row],[Date]],"mmm yyyy")</f>
        <v>Jun 2024</v>
      </c>
      <c r="T664" s="8">
        <f>data[[#This Row],[Profit]]/data[[#This Row],[Revenue]]</f>
        <v>0.2258205212081561</v>
      </c>
    </row>
    <row r="665" spans="1:20" x14ac:dyDescent="0.3">
      <c r="A665">
        <v>10663</v>
      </c>
      <c r="B665" t="s">
        <v>456</v>
      </c>
      <c r="C665" t="s">
        <v>608</v>
      </c>
      <c r="D665" t="s">
        <v>614</v>
      </c>
      <c r="E665" t="s">
        <v>629</v>
      </c>
      <c r="F665" t="s">
        <v>1272</v>
      </c>
      <c r="G665" t="s">
        <v>1764</v>
      </c>
      <c r="H665" t="s">
        <v>1769</v>
      </c>
      <c r="I665" t="s">
        <v>1774</v>
      </c>
      <c r="J665" t="s">
        <v>1777</v>
      </c>
      <c r="K665">
        <v>2</v>
      </c>
      <c r="L665" s="2">
        <v>223</v>
      </c>
      <c r="M665">
        <v>0.1</v>
      </c>
      <c r="N665" s="2">
        <v>162.66</v>
      </c>
      <c r="O665" s="2">
        <v>401.4</v>
      </c>
      <c r="P665" s="2">
        <v>325.32</v>
      </c>
      <c r="Q665" s="2">
        <v>76.08</v>
      </c>
      <c r="R665">
        <v>0</v>
      </c>
      <c r="S665" s="2" t="str">
        <f>TEXT(data[[#This Row],[Date]],"mmm yyyy")</f>
        <v>Jun 2024</v>
      </c>
      <c r="T665" s="8">
        <f>data[[#This Row],[Profit]]/data[[#This Row],[Revenue]]</f>
        <v>0.18953662182361736</v>
      </c>
    </row>
    <row r="666" spans="1:20" x14ac:dyDescent="0.3">
      <c r="A666">
        <v>10664</v>
      </c>
      <c r="B666" t="s">
        <v>275</v>
      </c>
      <c r="C666" t="s">
        <v>609</v>
      </c>
      <c r="D666" t="s">
        <v>622</v>
      </c>
      <c r="E666" t="s">
        <v>627</v>
      </c>
      <c r="F666" t="s">
        <v>1273</v>
      </c>
      <c r="G666" t="s">
        <v>1765</v>
      </c>
      <c r="H666" t="s">
        <v>1770</v>
      </c>
      <c r="I666" t="s">
        <v>1775</v>
      </c>
      <c r="J666" t="s">
        <v>1777</v>
      </c>
      <c r="K666">
        <v>1</v>
      </c>
      <c r="L666" s="2">
        <v>932</v>
      </c>
      <c r="M666">
        <v>0.2</v>
      </c>
      <c r="N666" s="2">
        <v>486.67</v>
      </c>
      <c r="O666" s="2">
        <v>745.6</v>
      </c>
      <c r="P666" s="2">
        <v>486.67</v>
      </c>
      <c r="Q666" s="2">
        <v>258.93</v>
      </c>
      <c r="R666">
        <v>1</v>
      </c>
      <c r="S666" s="2" t="str">
        <f>TEXT(data[[#This Row],[Date]],"mmm yyyy")</f>
        <v>Nov 2024</v>
      </c>
      <c r="T666" s="8">
        <f>data[[#This Row],[Profit]]/data[[#This Row],[Revenue]]</f>
        <v>0.34727736051502145</v>
      </c>
    </row>
    <row r="667" spans="1:20" x14ac:dyDescent="0.3">
      <c r="A667">
        <v>10665</v>
      </c>
      <c r="B667" t="s">
        <v>378</v>
      </c>
      <c r="C667" t="s">
        <v>609</v>
      </c>
      <c r="D667" t="s">
        <v>613</v>
      </c>
      <c r="E667" t="s">
        <v>626</v>
      </c>
      <c r="F667" t="s">
        <v>1274</v>
      </c>
      <c r="G667" t="s">
        <v>1762</v>
      </c>
      <c r="H667" t="s">
        <v>1768</v>
      </c>
      <c r="I667" t="s">
        <v>1773</v>
      </c>
      <c r="J667" t="s">
        <v>1779</v>
      </c>
      <c r="K667">
        <v>14</v>
      </c>
      <c r="L667" s="2">
        <v>1342</v>
      </c>
      <c r="M667">
        <v>0</v>
      </c>
      <c r="N667" s="2">
        <v>765.9</v>
      </c>
      <c r="O667" s="2">
        <v>18788</v>
      </c>
      <c r="P667" s="2">
        <v>10722.6</v>
      </c>
      <c r="Q667" s="2">
        <v>8065.4</v>
      </c>
      <c r="R667">
        <v>1</v>
      </c>
      <c r="S667" s="2" t="str">
        <f>TEXT(data[[#This Row],[Date]],"mmm yyyy")</f>
        <v>Jun 2025</v>
      </c>
      <c r="T667" s="8">
        <f>data[[#This Row],[Profit]]/data[[#This Row],[Revenue]]</f>
        <v>0.42928464977645303</v>
      </c>
    </row>
    <row r="668" spans="1:20" x14ac:dyDescent="0.3">
      <c r="A668">
        <v>10666</v>
      </c>
      <c r="B668" t="s">
        <v>457</v>
      </c>
      <c r="C668" t="s">
        <v>606</v>
      </c>
      <c r="D668" t="s">
        <v>616</v>
      </c>
      <c r="E668" t="s">
        <v>629</v>
      </c>
      <c r="F668" t="s">
        <v>1275</v>
      </c>
      <c r="G668" t="s">
        <v>1760</v>
      </c>
      <c r="H668" t="s">
        <v>1768</v>
      </c>
      <c r="I668" t="s">
        <v>1773</v>
      </c>
      <c r="J668" t="s">
        <v>1777</v>
      </c>
      <c r="K668">
        <v>5</v>
      </c>
      <c r="L668" s="2">
        <v>1343</v>
      </c>
      <c r="M668">
        <v>0.05</v>
      </c>
      <c r="N668" s="2">
        <v>831.86</v>
      </c>
      <c r="O668" s="2">
        <v>6379.25</v>
      </c>
      <c r="P668" s="2">
        <v>4159.3</v>
      </c>
      <c r="Q668" s="2">
        <v>2219.9499999999998</v>
      </c>
      <c r="R668">
        <v>0</v>
      </c>
      <c r="S668" s="2" t="str">
        <f>TEXT(data[[#This Row],[Date]],"mmm yyyy")</f>
        <v>Jan 2024</v>
      </c>
      <c r="T668" s="8">
        <f>data[[#This Row],[Profit]]/data[[#This Row],[Revenue]]</f>
        <v>0.34799545401105142</v>
      </c>
    </row>
    <row r="669" spans="1:20" x14ac:dyDescent="0.3">
      <c r="A669">
        <v>10667</v>
      </c>
      <c r="B669" t="s">
        <v>458</v>
      </c>
      <c r="C669" t="s">
        <v>609</v>
      </c>
      <c r="D669" t="s">
        <v>622</v>
      </c>
      <c r="E669" t="s">
        <v>626</v>
      </c>
      <c r="F669" t="s">
        <v>1276</v>
      </c>
      <c r="G669" t="s">
        <v>1766</v>
      </c>
      <c r="H669" t="s">
        <v>1770</v>
      </c>
      <c r="I669" t="s">
        <v>1775</v>
      </c>
      <c r="J669" t="s">
        <v>1776</v>
      </c>
      <c r="K669">
        <v>6</v>
      </c>
      <c r="L669" s="2">
        <v>457</v>
      </c>
      <c r="M669">
        <v>0.05</v>
      </c>
      <c r="N669" s="2">
        <v>314.43</v>
      </c>
      <c r="O669" s="2">
        <v>2604.9</v>
      </c>
      <c r="P669" s="2">
        <v>1886.58</v>
      </c>
      <c r="Q669" s="2">
        <v>718.32</v>
      </c>
      <c r="R669">
        <v>0</v>
      </c>
      <c r="S669" s="2" t="str">
        <f>TEXT(data[[#This Row],[Date]],"mmm yyyy")</f>
        <v>Dec 2025</v>
      </c>
      <c r="T669" s="8">
        <f>data[[#This Row],[Profit]]/data[[#This Row],[Revenue]]</f>
        <v>0.27575722676494302</v>
      </c>
    </row>
    <row r="670" spans="1:20" x14ac:dyDescent="0.3">
      <c r="A670">
        <v>10668</v>
      </c>
      <c r="B670" t="s">
        <v>459</v>
      </c>
      <c r="C670" t="s">
        <v>607</v>
      </c>
      <c r="D670" t="s">
        <v>621</v>
      </c>
      <c r="E670" t="s">
        <v>628</v>
      </c>
      <c r="F670" t="s">
        <v>1277</v>
      </c>
      <c r="G670" t="s">
        <v>1759</v>
      </c>
      <c r="H670" t="s">
        <v>1772</v>
      </c>
      <c r="I670" t="s">
        <v>1774</v>
      </c>
      <c r="J670" t="s">
        <v>1777</v>
      </c>
      <c r="K670">
        <v>4</v>
      </c>
      <c r="L670" s="2">
        <v>954</v>
      </c>
      <c r="M670">
        <v>0.15</v>
      </c>
      <c r="N670" s="2">
        <v>663.05</v>
      </c>
      <c r="O670" s="2">
        <v>3243.6</v>
      </c>
      <c r="P670" s="2">
        <v>2652.2</v>
      </c>
      <c r="Q670" s="2">
        <v>591.4</v>
      </c>
      <c r="R670">
        <v>0</v>
      </c>
      <c r="S670" s="2" t="str">
        <f>TEXT(data[[#This Row],[Date]],"mmm yyyy")</f>
        <v>Jun 2024</v>
      </c>
      <c r="T670" s="8">
        <f>data[[#This Row],[Profit]]/data[[#This Row],[Revenue]]</f>
        <v>0.18232827722283881</v>
      </c>
    </row>
    <row r="671" spans="1:20" x14ac:dyDescent="0.3">
      <c r="A671">
        <v>10669</v>
      </c>
      <c r="B671" t="s">
        <v>460</v>
      </c>
      <c r="C671" t="s">
        <v>608</v>
      </c>
      <c r="D671" t="s">
        <v>618</v>
      </c>
      <c r="E671" t="s">
        <v>626</v>
      </c>
      <c r="F671" t="s">
        <v>1278</v>
      </c>
      <c r="G671" t="s">
        <v>1766</v>
      </c>
      <c r="H671" t="s">
        <v>1772</v>
      </c>
      <c r="I671" t="s">
        <v>1773</v>
      </c>
      <c r="J671" t="s">
        <v>1778</v>
      </c>
      <c r="K671">
        <v>8</v>
      </c>
      <c r="L671" s="2">
        <v>626</v>
      </c>
      <c r="M671">
        <v>0.05</v>
      </c>
      <c r="N671" s="2">
        <v>365.27</v>
      </c>
      <c r="O671" s="2">
        <v>4757.6000000000004</v>
      </c>
      <c r="P671" s="2">
        <v>2922.16</v>
      </c>
      <c r="Q671" s="2">
        <v>1835.44</v>
      </c>
      <c r="R671">
        <v>0</v>
      </c>
      <c r="S671" s="2" t="str">
        <f>TEXT(data[[#This Row],[Date]],"mmm yyyy")</f>
        <v>Nov 2024</v>
      </c>
      <c r="T671" s="8">
        <f>data[[#This Row],[Profit]]/data[[#This Row],[Revenue]]</f>
        <v>0.38579115520430468</v>
      </c>
    </row>
    <row r="672" spans="1:20" x14ac:dyDescent="0.3">
      <c r="A672">
        <v>10670</v>
      </c>
      <c r="B672" t="s">
        <v>260</v>
      </c>
      <c r="C672" t="s">
        <v>606</v>
      </c>
      <c r="D672" t="s">
        <v>625</v>
      </c>
      <c r="E672" t="s">
        <v>627</v>
      </c>
      <c r="F672" t="s">
        <v>1279</v>
      </c>
      <c r="G672" t="s">
        <v>1760</v>
      </c>
      <c r="H672" t="s">
        <v>1770</v>
      </c>
      <c r="I672" t="s">
        <v>1773</v>
      </c>
      <c r="J672" t="s">
        <v>1778</v>
      </c>
      <c r="K672">
        <v>13</v>
      </c>
      <c r="L672" s="2">
        <v>644</v>
      </c>
      <c r="M672">
        <v>0.2</v>
      </c>
      <c r="N672" s="2">
        <v>438.16</v>
      </c>
      <c r="O672" s="2">
        <v>6697.6</v>
      </c>
      <c r="P672" s="2">
        <v>5696.08</v>
      </c>
      <c r="Q672" s="2">
        <v>1001.52</v>
      </c>
      <c r="R672">
        <v>0</v>
      </c>
      <c r="S672" s="2" t="str">
        <f>TEXT(data[[#This Row],[Date]],"mmm yyyy")</f>
        <v>May 2024</v>
      </c>
      <c r="T672" s="8">
        <f>data[[#This Row],[Profit]]/data[[#This Row],[Revenue]]</f>
        <v>0.14953416149068322</v>
      </c>
    </row>
    <row r="673" spans="1:20" x14ac:dyDescent="0.3">
      <c r="A673">
        <v>10671</v>
      </c>
      <c r="B673" t="s">
        <v>226</v>
      </c>
      <c r="C673" t="s">
        <v>609</v>
      </c>
      <c r="D673" t="s">
        <v>623</v>
      </c>
      <c r="E673" t="s">
        <v>627</v>
      </c>
      <c r="F673" t="s">
        <v>1280</v>
      </c>
      <c r="G673" t="s">
        <v>1762</v>
      </c>
      <c r="H673" t="s">
        <v>1768</v>
      </c>
      <c r="I673" t="s">
        <v>1775</v>
      </c>
      <c r="J673" t="s">
        <v>1777</v>
      </c>
      <c r="K673">
        <v>17</v>
      </c>
      <c r="L673" s="2">
        <v>1288</v>
      </c>
      <c r="M673">
        <v>0.15</v>
      </c>
      <c r="N673" s="2">
        <v>823.78</v>
      </c>
      <c r="O673" s="2">
        <v>18611.599999999999</v>
      </c>
      <c r="P673" s="2">
        <v>14004.26</v>
      </c>
      <c r="Q673" s="2">
        <v>4607.34</v>
      </c>
      <c r="R673">
        <v>0</v>
      </c>
      <c r="S673" s="2" t="str">
        <f>TEXT(data[[#This Row],[Date]],"mmm yyyy")</f>
        <v>Jun 2025</v>
      </c>
      <c r="T673" s="8">
        <f>data[[#This Row],[Profit]]/data[[#This Row],[Revenue]]</f>
        <v>0.24755206430398249</v>
      </c>
    </row>
    <row r="674" spans="1:20" x14ac:dyDescent="0.3">
      <c r="A674">
        <v>10672</v>
      </c>
      <c r="B674" t="s">
        <v>124</v>
      </c>
      <c r="C674" t="s">
        <v>608</v>
      </c>
      <c r="D674" t="s">
        <v>618</v>
      </c>
      <c r="E674" t="s">
        <v>626</v>
      </c>
      <c r="F674" t="s">
        <v>1281</v>
      </c>
      <c r="G674" t="s">
        <v>1764</v>
      </c>
      <c r="H674" t="s">
        <v>1767</v>
      </c>
      <c r="I674" t="s">
        <v>1775</v>
      </c>
      <c r="J674" t="s">
        <v>1778</v>
      </c>
      <c r="K674">
        <v>12</v>
      </c>
      <c r="L674" s="2">
        <v>238</v>
      </c>
      <c r="M674">
        <v>0</v>
      </c>
      <c r="N674" s="2">
        <v>162.76</v>
      </c>
      <c r="O674" s="2">
        <v>2856</v>
      </c>
      <c r="P674" s="2">
        <v>1953.12</v>
      </c>
      <c r="Q674" s="2">
        <v>902.88</v>
      </c>
      <c r="R674">
        <v>0</v>
      </c>
      <c r="S674" s="2" t="str">
        <f>TEXT(data[[#This Row],[Date]],"mmm yyyy")</f>
        <v>Sep 2024</v>
      </c>
      <c r="T674" s="8">
        <f>data[[#This Row],[Profit]]/data[[#This Row],[Revenue]]</f>
        <v>0.31613445378151261</v>
      </c>
    </row>
    <row r="675" spans="1:20" x14ac:dyDescent="0.3">
      <c r="A675">
        <v>10673</v>
      </c>
      <c r="B675" t="s">
        <v>454</v>
      </c>
      <c r="C675" t="s">
        <v>607</v>
      </c>
      <c r="D675" t="s">
        <v>624</v>
      </c>
      <c r="E675" t="s">
        <v>626</v>
      </c>
      <c r="F675" t="s">
        <v>1282</v>
      </c>
      <c r="G675" t="s">
        <v>1762</v>
      </c>
      <c r="H675" t="s">
        <v>1771</v>
      </c>
      <c r="I675" t="s">
        <v>1773</v>
      </c>
      <c r="J675" t="s">
        <v>1776</v>
      </c>
      <c r="K675">
        <v>5</v>
      </c>
      <c r="L675" s="2">
        <v>554</v>
      </c>
      <c r="M675">
        <v>0.1</v>
      </c>
      <c r="N675" s="2">
        <v>313.58</v>
      </c>
      <c r="O675" s="2">
        <v>2493</v>
      </c>
      <c r="P675" s="2">
        <v>1567.9</v>
      </c>
      <c r="Q675" s="2">
        <v>925.1</v>
      </c>
      <c r="R675">
        <v>0</v>
      </c>
      <c r="S675" s="2" t="str">
        <f>TEXT(data[[#This Row],[Date]],"mmm yyyy")</f>
        <v>Feb 2025</v>
      </c>
      <c r="T675" s="8">
        <f>data[[#This Row],[Profit]]/data[[#This Row],[Revenue]]</f>
        <v>0.37107902125952669</v>
      </c>
    </row>
    <row r="676" spans="1:20" x14ac:dyDescent="0.3">
      <c r="A676">
        <v>10674</v>
      </c>
      <c r="B676" t="s">
        <v>461</v>
      </c>
      <c r="C676" t="s">
        <v>608</v>
      </c>
      <c r="D676" t="s">
        <v>615</v>
      </c>
      <c r="E676" t="s">
        <v>628</v>
      </c>
      <c r="F676" t="s">
        <v>1283</v>
      </c>
      <c r="G676" t="s">
        <v>1759</v>
      </c>
      <c r="H676" t="s">
        <v>1767</v>
      </c>
      <c r="I676" t="s">
        <v>1775</v>
      </c>
      <c r="J676" t="s">
        <v>1779</v>
      </c>
      <c r="K676">
        <v>11</v>
      </c>
      <c r="L676" s="2">
        <v>285</v>
      </c>
      <c r="M676">
        <v>0.2</v>
      </c>
      <c r="N676" s="2">
        <v>154.43</v>
      </c>
      <c r="O676" s="2">
        <v>2508</v>
      </c>
      <c r="P676" s="2">
        <v>1698.73</v>
      </c>
      <c r="Q676" s="2">
        <v>809.27</v>
      </c>
      <c r="R676">
        <v>1</v>
      </c>
      <c r="S676" s="2" t="str">
        <f>TEXT(data[[#This Row],[Date]],"mmm yyyy")</f>
        <v>Sep 2025</v>
      </c>
      <c r="T676" s="8">
        <f>data[[#This Row],[Profit]]/data[[#This Row],[Revenue]]</f>
        <v>0.32267543859649123</v>
      </c>
    </row>
    <row r="677" spans="1:20" x14ac:dyDescent="0.3">
      <c r="A677">
        <v>10675</v>
      </c>
      <c r="B677" t="s">
        <v>462</v>
      </c>
      <c r="C677" t="s">
        <v>608</v>
      </c>
      <c r="D677" t="s">
        <v>612</v>
      </c>
      <c r="E677" t="s">
        <v>626</v>
      </c>
      <c r="F677" t="s">
        <v>1284</v>
      </c>
      <c r="G677" t="s">
        <v>1762</v>
      </c>
      <c r="H677" t="s">
        <v>1770</v>
      </c>
      <c r="I677" t="s">
        <v>1775</v>
      </c>
      <c r="J677" t="s">
        <v>1777</v>
      </c>
      <c r="K677">
        <v>3</v>
      </c>
      <c r="L677" s="2">
        <v>682</v>
      </c>
      <c r="M677">
        <v>0.2</v>
      </c>
      <c r="N677" s="2">
        <v>449.81</v>
      </c>
      <c r="O677" s="2">
        <v>1636.8</v>
      </c>
      <c r="P677" s="2">
        <v>1349.43</v>
      </c>
      <c r="Q677" s="2">
        <v>287.37</v>
      </c>
      <c r="R677">
        <v>0</v>
      </c>
      <c r="S677" s="2" t="str">
        <f>TEXT(data[[#This Row],[Date]],"mmm yyyy")</f>
        <v>Nov 2025</v>
      </c>
      <c r="T677" s="8">
        <f>data[[#This Row],[Profit]]/data[[#This Row],[Revenue]]</f>
        <v>0.17556818181818182</v>
      </c>
    </row>
    <row r="678" spans="1:20" x14ac:dyDescent="0.3">
      <c r="A678">
        <v>10676</v>
      </c>
      <c r="B678" t="s">
        <v>463</v>
      </c>
      <c r="C678" t="s">
        <v>606</v>
      </c>
      <c r="D678" t="s">
        <v>616</v>
      </c>
      <c r="E678" t="s">
        <v>629</v>
      </c>
      <c r="F678" t="s">
        <v>1285</v>
      </c>
      <c r="G678" t="s">
        <v>1765</v>
      </c>
      <c r="H678" t="s">
        <v>1768</v>
      </c>
      <c r="I678" t="s">
        <v>1775</v>
      </c>
      <c r="J678" t="s">
        <v>1779</v>
      </c>
      <c r="K678">
        <v>10</v>
      </c>
      <c r="L678" s="2">
        <v>879</v>
      </c>
      <c r="M678">
        <v>0.1</v>
      </c>
      <c r="N678" s="2">
        <v>539.4</v>
      </c>
      <c r="O678" s="2">
        <v>7911</v>
      </c>
      <c r="P678" s="2">
        <v>5394</v>
      </c>
      <c r="Q678" s="2">
        <v>2517</v>
      </c>
      <c r="R678">
        <v>0</v>
      </c>
      <c r="S678" s="2" t="str">
        <f>TEXT(data[[#This Row],[Date]],"mmm yyyy")</f>
        <v>Feb 2024</v>
      </c>
      <c r="T678" s="8">
        <f>data[[#This Row],[Profit]]/data[[#This Row],[Revenue]]</f>
        <v>0.31816458096321576</v>
      </c>
    </row>
    <row r="679" spans="1:20" x14ac:dyDescent="0.3">
      <c r="A679">
        <v>10677</v>
      </c>
      <c r="B679" t="s">
        <v>464</v>
      </c>
      <c r="C679" t="s">
        <v>606</v>
      </c>
      <c r="D679" t="s">
        <v>616</v>
      </c>
      <c r="E679" t="s">
        <v>628</v>
      </c>
      <c r="F679" t="s">
        <v>1286</v>
      </c>
      <c r="G679" t="s">
        <v>1761</v>
      </c>
      <c r="H679" t="s">
        <v>1770</v>
      </c>
      <c r="I679" t="s">
        <v>1773</v>
      </c>
      <c r="J679" t="s">
        <v>1777</v>
      </c>
      <c r="K679">
        <v>12</v>
      </c>
      <c r="L679" s="2">
        <v>957</v>
      </c>
      <c r="M679">
        <v>0</v>
      </c>
      <c r="N679" s="2">
        <v>504.91</v>
      </c>
      <c r="O679" s="2">
        <v>11484</v>
      </c>
      <c r="P679" s="2">
        <v>6058.92</v>
      </c>
      <c r="Q679" s="2">
        <v>5425.08</v>
      </c>
      <c r="R679">
        <v>0</v>
      </c>
      <c r="S679" s="2" t="str">
        <f>TEXT(data[[#This Row],[Date]],"mmm yyyy")</f>
        <v>Sep 2024</v>
      </c>
      <c r="T679" s="8">
        <f>data[[#This Row],[Profit]]/data[[#This Row],[Revenue]]</f>
        <v>0.47240334378265414</v>
      </c>
    </row>
    <row r="680" spans="1:20" x14ac:dyDescent="0.3">
      <c r="A680">
        <v>10678</v>
      </c>
      <c r="B680" t="s">
        <v>433</v>
      </c>
      <c r="C680" t="s">
        <v>606</v>
      </c>
      <c r="D680" t="s">
        <v>620</v>
      </c>
      <c r="E680" t="s">
        <v>627</v>
      </c>
      <c r="F680" t="s">
        <v>1287</v>
      </c>
      <c r="G680" t="s">
        <v>1764</v>
      </c>
      <c r="H680" t="s">
        <v>1770</v>
      </c>
      <c r="I680" t="s">
        <v>1774</v>
      </c>
      <c r="J680" t="s">
        <v>1777</v>
      </c>
      <c r="K680">
        <v>3</v>
      </c>
      <c r="L680" s="2">
        <v>442</v>
      </c>
      <c r="M680">
        <v>0.2</v>
      </c>
      <c r="N680" s="2">
        <v>248</v>
      </c>
      <c r="O680" s="2">
        <v>1060.8</v>
      </c>
      <c r="P680" s="2">
        <v>744</v>
      </c>
      <c r="Q680" s="2">
        <v>316.8</v>
      </c>
      <c r="R680">
        <v>0</v>
      </c>
      <c r="S680" s="2" t="str">
        <f>TEXT(data[[#This Row],[Date]],"mmm yyyy")</f>
        <v>Aug 2024</v>
      </c>
      <c r="T680" s="8">
        <f>data[[#This Row],[Profit]]/data[[#This Row],[Revenue]]</f>
        <v>0.29864253393665163</v>
      </c>
    </row>
    <row r="681" spans="1:20" x14ac:dyDescent="0.3">
      <c r="A681">
        <v>10679</v>
      </c>
      <c r="B681" t="s">
        <v>289</v>
      </c>
      <c r="C681" t="s">
        <v>608</v>
      </c>
      <c r="D681" t="s">
        <v>614</v>
      </c>
      <c r="E681" t="s">
        <v>627</v>
      </c>
      <c r="F681" t="s">
        <v>1218</v>
      </c>
      <c r="G681" t="s">
        <v>1765</v>
      </c>
      <c r="H681" t="s">
        <v>1771</v>
      </c>
      <c r="I681" t="s">
        <v>1775</v>
      </c>
      <c r="J681" t="s">
        <v>1778</v>
      </c>
      <c r="K681">
        <v>3</v>
      </c>
      <c r="L681" s="2">
        <v>543</v>
      </c>
      <c r="M681">
        <v>0</v>
      </c>
      <c r="N681" s="2">
        <v>347.1</v>
      </c>
      <c r="O681" s="2">
        <v>1629</v>
      </c>
      <c r="P681" s="2">
        <v>1041.3</v>
      </c>
      <c r="Q681" s="2">
        <v>587.70000000000005</v>
      </c>
      <c r="R681">
        <v>0</v>
      </c>
      <c r="S681" s="2" t="str">
        <f>TEXT(data[[#This Row],[Date]],"mmm yyyy")</f>
        <v>Apr 2025</v>
      </c>
      <c r="T681" s="8">
        <f>data[[#This Row],[Profit]]/data[[#This Row],[Revenue]]</f>
        <v>0.36077348066298343</v>
      </c>
    </row>
    <row r="682" spans="1:20" x14ac:dyDescent="0.3">
      <c r="A682">
        <v>10680</v>
      </c>
      <c r="B682" t="s">
        <v>465</v>
      </c>
      <c r="C682" t="s">
        <v>609</v>
      </c>
      <c r="D682" t="s">
        <v>619</v>
      </c>
      <c r="E682" t="s">
        <v>628</v>
      </c>
      <c r="F682" t="s">
        <v>1288</v>
      </c>
      <c r="G682" t="s">
        <v>1761</v>
      </c>
      <c r="H682" t="s">
        <v>1769</v>
      </c>
      <c r="I682" t="s">
        <v>1773</v>
      </c>
      <c r="J682" t="s">
        <v>1776</v>
      </c>
      <c r="K682">
        <v>9</v>
      </c>
      <c r="L682" s="2">
        <v>458</v>
      </c>
      <c r="M682">
        <v>0.1</v>
      </c>
      <c r="N682" s="2">
        <v>338.39</v>
      </c>
      <c r="O682" s="2">
        <v>3709.8</v>
      </c>
      <c r="P682" s="2">
        <v>3045.51</v>
      </c>
      <c r="Q682" s="2">
        <v>664.29</v>
      </c>
      <c r="R682">
        <v>0</v>
      </c>
      <c r="S682" s="2" t="str">
        <f>TEXT(data[[#This Row],[Date]],"mmm yyyy")</f>
        <v>Nov 2025</v>
      </c>
      <c r="T682" s="8">
        <f>data[[#This Row],[Profit]]/data[[#This Row],[Revenue]]</f>
        <v>0.17906356137797183</v>
      </c>
    </row>
    <row r="683" spans="1:20" x14ac:dyDescent="0.3">
      <c r="A683">
        <v>10681</v>
      </c>
      <c r="B683" t="s">
        <v>385</v>
      </c>
      <c r="C683" t="s">
        <v>606</v>
      </c>
      <c r="D683" t="s">
        <v>625</v>
      </c>
      <c r="E683" t="s">
        <v>628</v>
      </c>
      <c r="F683" t="s">
        <v>1289</v>
      </c>
      <c r="G683" t="s">
        <v>1764</v>
      </c>
      <c r="H683" t="s">
        <v>1770</v>
      </c>
      <c r="I683" t="s">
        <v>1773</v>
      </c>
      <c r="J683" t="s">
        <v>1779</v>
      </c>
      <c r="K683">
        <v>3</v>
      </c>
      <c r="L683" s="2">
        <v>764</v>
      </c>
      <c r="M683">
        <v>0</v>
      </c>
      <c r="N683" s="2">
        <v>473.37</v>
      </c>
      <c r="O683" s="2">
        <v>2292</v>
      </c>
      <c r="P683" s="2">
        <v>1420.11</v>
      </c>
      <c r="Q683" s="2">
        <v>871.89</v>
      </c>
      <c r="R683">
        <v>0</v>
      </c>
      <c r="S683" s="2" t="str">
        <f>TEXT(data[[#This Row],[Date]],"mmm yyyy")</f>
        <v>Aug 2025</v>
      </c>
      <c r="T683" s="8">
        <f>data[[#This Row],[Profit]]/data[[#This Row],[Revenue]]</f>
        <v>0.38040575916230368</v>
      </c>
    </row>
    <row r="684" spans="1:20" x14ac:dyDescent="0.3">
      <c r="A684">
        <v>10682</v>
      </c>
      <c r="B684" t="s">
        <v>466</v>
      </c>
      <c r="C684" t="s">
        <v>606</v>
      </c>
      <c r="D684" t="s">
        <v>625</v>
      </c>
      <c r="E684" t="s">
        <v>629</v>
      </c>
      <c r="F684" t="s">
        <v>1290</v>
      </c>
      <c r="G684" t="s">
        <v>1766</v>
      </c>
      <c r="H684" t="s">
        <v>1772</v>
      </c>
      <c r="I684" t="s">
        <v>1775</v>
      </c>
      <c r="J684" t="s">
        <v>1778</v>
      </c>
      <c r="K684">
        <v>4</v>
      </c>
      <c r="L684" s="2">
        <v>688</v>
      </c>
      <c r="M684">
        <v>0.2</v>
      </c>
      <c r="N684" s="2">
        <v>490.09</v>
      </c>
      <c r="O684" s="2">
        <v>2201.6</v>
      </c>
      <c r="P684" s="2">
        <v>1960.36</v>
      </c>
      <c r="Q684" s="2">
        <v>241.24</v>
      </c>
      <c r="R684">
        <v>0</v>
      </c>
      <c r="S684" s="2" t="str">
        <f>TEXT(data[[#This Row],[Date]],"mmm yyyy")</f>
        <v>May 2024</v>
      </c>
      <c r="T684" s="8">
        <f>data[[#This Row],[Profit]]/data[[#This Row],[Revenue]]</f>
        <v>0.1095748546511628</v>
      </c>
    </row>
    <row r="685" spans="1:20" x14ac:dyDescent="0.3">
      <c r="A685">
        <v>10683</v>
      </c>
      <c r="B685" t="s">
        <v>441</v>
      </c>
      <c r="C685" t="s">
        <v>607</v>
      </c>
      <c r="D685" t="s">
        <v>624</v>
      </c>
      <c r="E685" t="s">
        <v>627</v>
      </c>
      <c r="F685" t="s">
        <v>1291</v>
      </c>
      <c r="G685" t="s">
        <v>1766</v>
      </c>
      <c r="H685" t="s">
        <v>1771</v>
      </c>
      <c r="I685" t="s">
        <v>1773</v>
      </c>
      <c r="J685" t="s">
        <v>1777</v>
      </c>
      <c r="K685">
        <v>17</v>
      </c>
      <c r="L685" s="2">
        <v>411</v>
      </c>
      <c r="M685">
        <v>0</v>
      </c>
      <c r="N685" s="2">
        <v>267.22000000000003</v>
      </c>
      <c r="O685" s="2">
        <v>6987</v>
      </c>
      <c r="P685" s="2">
        <v>4542.74</v>
      </c>
      <c r="Q685" s="2">
        <v>2444.2600000000002</v>
      </c>
      <c r="R685">
        <v>1</v>
      </c>
      <c r="S685" s="2" t="str">
        <f>TEXT(data[[#This Row],[Date]],"mmm yyyy")</f>
        <v>Jul 2025</v>
      </c>
      <c r="T685" s="8">
        <f>data[[#This Row],[Profit]]/data[[#This Row],[Revenue]]</f>
        <v>0.34982968369829687</v>
      </c>
    </row>
    <row r="686" spans="1:20" x14ac:dyDescent="0.3">
      <c r="A686">
        <v>10684</v>
      </c>
      <c r="B686" t="s">
        <v>467</v>
      </c>
      <c r="C686" t="s">
        <v>609</v>
      </c>
      <c r="D686" t="s">
        <v>622</v>
      </c>
      <c r="E686" t="s">
        <v>628</v>
      </c>
      <c r="F686" t="s">
        <v>1292</v>
      </c>
      <c r="G686" t="s">
        <v>1764</v>
      </c>
      <c r="H686" t="s">
        <v>1769</v>
      </c>
      <c r="I686" t="s">
        <v>1773</v>
      </c>
      <c r="J686" t="s">
        <v>1776</v>
      </c>
      <c r="K686">
        <v>20</v>
      </c>
      <c r="L686" s="2">
        <v>171</v>
      </c>
      <c r="M686">
        <v>0.15</v>
      </c>
      <c r="N686" s="2">
        <v>121.56</v>
      </c>
      <c r="O686" s="2">
        <v>2907</v>
      </c>
      <c r="P686" s="2">
        <v>2431.1999999999998</v>
      </c>
      <c r="Q686" s="2">
        <v>475.8</v>
      </c>
      <c r="R686">
        <v>0</v>
      </c>
      <c r="S686" s="2" t="str">
        <f>TEXT(data[[#This Row],[Date]],"mmm yyyy")</f>
        <v>Apr 2024</v>
      </c>
      <c r="T686" s="8">
        <f>data[[#This Row],[Profit]]/data[[#This Row],[Revenue]]</f>
        <v>0.16367389060887513</v>
      </c>
    </row>
    <row r="687" spans="1:20" x14ac:dyDescent="0.3">
      <c r="A687">
        <v>10685</v>
      </c>
      <c r="B687" t="s">
        <v>462</v>
      </c>
      <c r="C687" t="s">
        <v>606</v>
      </c>
      <c r="D687" t="s">
        <v>610</v>
      </c>
      <c r="E687" t="s">
        <v>629</v>
      </c>
      <c r="F687" t="s">
        <v>1293</v>
      </c>
      <c r="G687" t="s">
        <v>1759</v>
      </c>
      <c r="H687" t="s">
        <v>1771</v>
      </c>
      <c r="I687" t="s">
        <v>1775</v>
      </c>
      <c r="J687" t="s">
        <v>1779</v>
      </c>
      <c r="K687">
        <v>2</v>
      </c>
      <c r="L687" s="2">
        <v>686</v>
      </c>
      <c r="M687">
        <v>0.2</v>
      </c>
      <c r="N687" s="2">
        <v>359.19</v>
      </c>
      <c r="O687" s="2">
        <v>1097.5999999999999</v>
      </c>
      <c r="P687" s="2">
        <v>718.38</v>
      </c>
      <c r="Q687" s="2">
        <v>379.22</v>
      </c>
      <c r="R687">
        <v>0</v>
      </c>
      <c r="S687" s="2" t="str">
        <f>TEXT(data[[#This Row],[Date]],"mmm yyyy")</f>
        <v>Nov 2025</v>
      </c>
      <c r="T687" s="8">
        <f>data[[#This Row],[Profit]]/data[[#This Row],[Revenue]]</f>
        <v>0.34549927113702628</v>
      </c>
    </row>
    <row r="688" spans="1:20" x14ac:dyDescent="0.3">
      <c r="A688">
        <v>10686</v>
      </c>
      <c r="B688" t="s">
        <v>468</v>
      </c>
      <c r="C688" t="s">
        <v>608</v>
      </c>
      <c r="D688" t="s">
        <v>615</v>
      </c>
      <c r="E688" t="s">
        <v>628</v>
      </c>
      <c r="F688" t="s">
        <v>1294</v>
      </c>
      <c r="G688" t="s">
        <v>1762</v>
      </c>
      <c r="H688" t="s">
        <v>1770</v>
      </c>
      <c r="I688" t="s">
        <v>1775</v>
      </c>
      <c r="J688" t="s">
        <v>1777</v>
      </c>
      <c r="K688">
        <v>2</v>
      </c>
      <c r="L688" s="2">
        <v>576</v>
      </c>
      <c r="M688">
        <v>0.1</v>
      </c>
      <c r="N688" s="2">
        <v>415.6</v>
      </c>
      <c r="O688" s="2">
        <v>1036.8</v>
      </c>
      <c r="P688" s="2">
        <v>831.2</v>
      </c>
      <c r="Q688" s="2">
        <v>205.6</v>
      </c>
      <c r="R688">
        <v>0</v>
      </c>
      <c r="S688" s="2" t="str">
        <f>TEXT(data[[#This Row],[Date]],"mmm yyyy")</f>
        <v>Aug 2025</v>
      </c>
      <c r="T688" s="8">
        <f>data[[#This Row],[Profit]]/data[[#This Row],[Revenue]]</f>
        <v>0.19830246913580246</v>
      </c>
    </row>
    <row r="689" spans="1:20" x14ac:dyDescent="0.3">
      <c r="A689">
        <v>10687</v>
      </c>
      <c r="B689" t="s">
        <v>469</v>
      </c>
      <c r="C689" t="s">
        <v>608</v>
      </c>
      <c r="D689" t="s">
        <v>615</v>
      </c>
      <c r="E689" t="s">
        <v>628</v>
      </c>
      <c r="F689" t="s">
        <v>1295</v>
      </c>
      <c r="G689" t="s">
        <v>1760</v>
      </c>
      <c r="H689" t="s">
        <v>1768</v>
      </c>
      <c r="I689" t="s">
        <v>1773</v>
      </c>
      <c r="J689" t="s">
        <v>1779</v>
      </c>
      <c r="K689">
        <v>17</v>
      </c>
      <c r="L689" s="2">
        <v>1200</v>
      </c>
      <c r="M689">
        <v>0.05</v>
      </c>
      <c r="N689" s="2">
        <v>662.75</v>
      </c>
      <c r="O689" s="2">
        <v>19380</v>
      </c>
      <c r="P689" s="2">
        <v>11266.75</v>
      </c>
      <c r="Q689" s="2">
        <v>8113.25</v>
      </c>
      <c r="R689">
        <v>0</v>
      </c>
      <c r="S689" s="2" t="str">
        <f>TEXT(data[[#This Row],[Date]],"mmm yyyy")</f>
        <v>Apr 2025</v>
      </c>
      <c r="T689" s="8">
        <f>data[[#This Row],[Profit]]/data[[#This Row],[Revenue]]</f>
        <v>0.41864035087719298</v>
      </c>
    </row>
    <row r="690" spans="1:20" x14ac:dyDescent="0.3">
      <c r="A690">
        <v>10688</v>
      </c>
      <c r="B690" t="s">
        <v>443</v>
      </c>
      <c r="C690" t="s">
        <v>609</v>
      </c>
      <c r="D690" t="s">
        <v>623</v>
      </c>
      <c r="E690" t="s">
        <v>627</v>
      </c>
      <c r="F690" t="s">
        <v>1296</v>
      </c>
      <c r="G690" t="s">
        <v>1766</v>
      </c>
      <c r="H690" t="s">
        <v>1767</v>
      </c>
      <c r="I690" t="s">
        <v>1774</v>
      </c>
      <c r="J690" t="s">
        <v>1778</v>
      </c>
      <c r="K690">
        <v>10</v>
      </c>
      <c r="L690" s="2">
        <v>160</v>
      </c>
      <c r="M690">
        <v>0.1</v>
      </c>
      <c r="N690" s="2">
        <v>88.6</v>
      </c>
      <c r="O690" s="2">
        <v>1440</v>
      </c>
      <c r="P690" s="2">
        <v>886</v>
      </c>
      <c r="Q690" s="2">
        <v>554</v>
      </c>
      <c r="R690">
        <v>0</v>
      </c>
      <c r="S690" s="2" t="str">
        <f>TEXT(data[[#This Row],[Date]],"mmm yyyy")</f>
        <v>Apr 2025</v>
      </c>
      <c r="T690" s="8">
        <f>data[[#This Row],[Profit]]/data[[#This Row],[Revenue]]</f>
        <v>0.38472222222222224</v>
      </c>
    </row>
    <row r="691" spans="1:20" x14ac:dyDescent="0.3">
      <c r="A691">
        <v>10689</v>
      </c>
      <c r="B691" t="s">
        <v>470</v>
      </c>
      <c r="C691" t="s">
        <v>608</v>
      </c>
      <c r="D691" t="s">
        <v>612</v>
      </c>
      <c r="E691" t="s">
        <v>628</v>
      </c>
      <c r="F691" t="s">
        <v>1297</v>
      </c>
      <c r="G691" t="s">
        <v>1766</v>
      </c>
      <c r="H691" t="s">
        <v>1767</v>
      </c>
      <c r="I691" t="s">
        <v>1775</v>
      </c>
      <c r="J691" t="s">
        <v>1779</v>
      </c>
      <c r="K691">
        <v>4</v>
      </c>
      <c r="L691" s="2">
        <v>213</v>
      </c>
      <c r="M691">
        <v>0.1</v>
      </c>
      <c r="N691" s="2">
        <v>143.47999999999999</v>
      </c>
      <c r="O691" s="2">
        <v>766.8</v>
      </c>
      <c r="P691" s="2">
        <v>573.91999999999996</v>
      </c>
      <c r="Q691" s="2">
        <v>192.88</v>
      </c>
      <c r="R691">
        <v>1</v>
      </c>
      <c r="S691" s="2" t="str">
        <f>TEXT(data[[#This Row],[Date]],"mmm yyyy")</f>
        <v>Sep 2025</v>
      </c>
      <c r="T691" s="8">
        <f>data[[#This Row],[Profit]]/data[[#This Row],[Revenue]]</f>
        <v>0.25153886280646842</v>
      </c>
    </row>
    <row r="692" spans="1:20" x14ac:dyDescent="0.3">
      <c r="A692">
        <v>10690</v>
      </c>
      <c r="B692" t="s">
        <v>143</v>
      </c>
      <c r="C692" t="s">
        <v>607</v>
      </c>
      <c r="D692" t="s">
        <v>611</v>
      </c>
      <c r="E692" t="s">
        <v>629</v>
      </c>
      <c r="F692" t="s">
        <v>1298</v>
      </c>
      <c r="G692" t="s">
        <v>1765</v>
      </c>
      <c r="H692" t="s">
        <v>1769</v>
      </c>
      <c r="I692" t="s">
        <v>1774</v>
      </c>
      <c r="J692" t="s">
        <v>1779</v>
      </c>
      <c r="K692">
        <v>6</v>
      </c>
      <c r="L692" s="2">
        <v>334</v>
      </c>
      <c r="M692">
        <v>0.1</v>
      </c>
      <c r="N692" s="2">
        <v>178.69</v>
      </c>
      <c r="O692" s="2">
        <v>1803.6</v>
      </c>
      <c r="P692" s="2">
        <v>1072.1400000000001</v>
      </c>
      <c r="Q692" s="2">
        <v>731.46</v>
      </c>
      <c r="R692">
        <v>0</v>
      </c>
      <c r="S692" s="2" t="str">
        <f>TEXT(data[[#This Row],[Date]],"mmm yyyy")</f>
        <v>Jul 2024</v>
      </c>
      <c r="T692" s="8">
        <f>data[[#This Row],[Profit]]/data[[#This Row],[Revenue]]</f>
        <v>0.40555555555555561</v>
      </c>
    </row>
    <row r="693" spans="1:20" x14ac:dyDescent="0.3">
      <c r="A693">
        <v>10691</v>
      </c>
      <c r="B693" t="s">
        <v>401</v>
      </c>
      <c r="C693" t="s">
        <v>607</v>
      </c>
      <c r="D693" t="s">
        <v>621</v>
      </c>
      <c r="E693" t="s">
        <v>629</v>
      </c>
      <c r="F693" t="s">
        <v>1299</v>
      </c>
      <c r="G693" t="s">
        <v>1759</v>
      </c>
      <c r="H693" t="s">
        <v>1770</v>
      </c>
      <c r="I693" t="s">
        <v>1774</v>
      </c>
      <c r="J693" t="s">
        <v>1778</v>
      </c>
      <c r="K693">
        <v>8</v>
      </c>
      <c r="L693" s="2">
        <v>820</v>
      </c>
      <c r="M693">
        <v>0.05</v>
      </c>
      <c r="N693" s="2">
        <v>475.24</v>
      </c>
      <c r="O693" s="2">
        <v>6232</v>
      </c>
      <c r="P693" s="2">
        <v>3801.92</v>
      </c>
      <c r="Q693" s="2">
        <v>2430.08</v>
      </c>
      <c r="R693">
        <v>0</v>
      </c>
      <c r="S693" s="2" t="str">
        <f>TEXT(data[[#This Row],[Date]],"mmm yyyy")</f>
        <v>Dec 2024</v>
      </c>
      <c r="T693" s="8">
        <f>data[[#This Row],[Profit]]/data[[#This Row],[Revenue]]</f>
        <v>0.38993581514762515</v>
      </c>
    </row>
    <row r="694" spans="1:20" x14ac:dyDescent="0.3">
      <c r="A694">
        <v>10692</v>
      </c>
      <c r="B694" t="s">
        <v>87</v>
      </c>
      <c r="C694" t="s">
        <v>606</v>
      </c>
      <c r="D694" t="s">
        <v>610</v>
      </c>
      <c r="E694" t="s">
        <v>627</v>
      </c>
      <c r="F694" t="s">
        <v>1300</v>
      </c>
      <c r="G694" t="s">
        <v>1761</v>
      </c>
      <c r="H694" t="s">
        <v>1770</v>
      </c>
      <c r="I694" t="s">
        <v>1775</v>
      </c>
      <c r="J694" t="s">
        <v>1779</v>
      </c>
      <c r="K694">
        <v>5</v>
      </c>
      <c r="L694" s="2">
        <v>814</v>
      </c>
      <c r="M694">
        <v>0</v>
      </c>
      <c r="N694" s="2">
        <v>603.70000000000005</v>
      </c>
      <c r="O694" s="2">
        <v>4070</v>
      </c>
      <c r="P694" s="2">
        <v>3018.5</v>
      </c>
      <c r="Q694" s="2">
        <v>1051.5</v>
      </c>
      <c r="R694">
        <v>0</v>
      </c>
      <c r="S694" s="2" t="str">
        <f>TEXT(data[[#This Row],[Date]],"mmm yyyy")</f>
        <v>Jul 2025</v>
      </c>
      <c r="T694" s="8">
        <f>data[[#This Row],[Profit]]/data[[#This Row],[Revenue]]</f>
        <v>0.25835380835380833</v>
      </c>
    </row>
    <row r="695" spans="1:20" x14ac:dyDescent="0.3">
      <c r="A695">
        <v>10693</v>
      </c>
      <c r="B695" t="s">
        <v>471</v>
      </c>
      <c r="C695" t="s">
        <v>608</v>
      </c>
      <c r="D695" t="s">
        <v>614</v>
      </c>
      <c r="E695" t="s">
        <v>626</v>
      </c>
      <c r="F695" t="s">
        <v>1301</v>
      </c>
      <c r="G695" t="s">
        <v>1759</v>
      </c>
      <c r="H695" t="s">
        <v>1771</v>
      </c>
      <c r="I695" t="s">
        <v>1773</v>
      </c>
      <c r="J695" t="s">
        <v>1776</v>
      </c>
      <c r="K695">
        <v>6</v>
      </c>
      <c r="L695" s="2">
        <v>682</v>
      </c>
      <c r="M695">
        <v>0.05</v>
      </c>
      <c r="N695" s="2">
        <v>383.56</v>
      </c>
      <c r="O695" s="2">
        <v>3887.4</v>
      </c>
      <c r="P695" s="2">
        <v>2301.36</v>
      </c>
      <c r="Q695" s="2">
        <v>1586.04</v>
      </c>
      <c r="R695">
        <v>0</v>
      </c>
      <c r="S695" s="2" t="str">
        <f>TEXT(data[[#This Row],[Date]],"mmm yyyy")</f>
        <v>Feb 2024</v>
      </c>
      <c r="T695" s="8">
        <f>data[[#This Row],[Profit]]/data[[#This Row],[Revenue]]</f>
        <v>0.40799506096619848</v>
      </c>
    </row>
    <row r="696" spans="1:20" x14ac:dyDescent="0.3">
      <c r="A696">
        <v>10694</v>
      </c>
      <c r="B696" t="s">
        <v>39</v>
      </c>
      <c r="C696" t="s">
        <v>609</v>
      </c>
      <c r="D696" t="s">
        <v>623</v>
      </c>
      <c r="E696" t="s">
        <v>626</v>
      </c>
      <c r="F696" t="s">
        <v>1302</v>
      </c>
      <c r="G696" t="s">
        <v>1762</v>
      </c>
      <c r="H696" t="s">
        <v>1771</v>
      </c>
      <c r="I696" t="s">
        <v>1775</v>
      </c>
      <c r="J696" t="s">
        <v>1776</v>
      </c>
      <c r="K696">
        <v>6</v>
      </c>
      <c r="L696" s="2">
        <v>334</v>
      </c>
      <c r="M696">
        <v>0.05</v>
      </c>
      <c r="N696" s="2">
        <v>174.23</v>
      </c>
      <c r="O696" s="2">
        <v>1903.8</v>
      </c>
      <c r="P696" s="2">
        <v>1045.3800000000001</v>
      </c>
      <c r="Q696" s="2">
        <v>858.42</v>
      </c>
      <c r="R696">
        <v>0</v>
      </c>
      <c r="S696" s="2" t="str">
        <f>TEXT(data[[#This Row],[Date]],"mmm yyyy")</f>
        <v>Apr 2024</v>
      </c>
      <c r="T696" s="8">
        <f>data[[#This Row],[Profit]]/data[[#This Row],[Revenue]]</f>
        <v>0.45089820359281435</v>
      </c>
    </row>
    <row r="697" spans="1:20" x14ac:dyDescent="0.3">
      <c r="A697">
        <v>10695</v>
      </c>
      <c r="B697" t="s">
        <v>228</v>
      </c>
      <c r="C697" t="s">
        <v>609</v>
      </c>
      <c r="D697" t="s">
        <v>622</v>
      </c>
      <c r="E697" t="s">
        <v>626</v>
      </c>
      <c r="F697" t="s">
        <v>1303</v>
      </c>
      <c r="G697" t="s">
        <v>1765</v>
      </c>
      <c r="H697" t="s">
        <v>1769</v>
      </c>
      <c r="I697" t="s">
        <v>1774</v>
      </c>
      <c r="J697" t="s">
        <v>1776</v>
      </c>
      <c r="K697">
        <v>17</v>
      </c>
      <c r="L697" s="2">
        <v>214</v>
      </c>
      <c r="M697">
        <v>0.05</v>
      </c>
      <c r="N697" s="2">
        <v>127.16</v>
      </c>
      <c r="O697" s="2">
        <v>3456.1</v>
      </c>
      <c r="P697" s="2">
        <v>2161.7199999999998</v>
      </c>
      <c r="Q697" s="2">
        <v>1294.3800000000001</v>
      </c>
      <c r="R697">
        <v>0</v>
      </c>
      <c r="S697" s="2" t="str">
        <f>TEXT(data[[#This Row],[Date]],"mmm yyyy")</f>
        <v>Dec 2025</v>
      </c>
      <c r="T697" s="8">
        <f>data[[#This Row],[Profit]]/data[[#This Row],[Revenue]]</f>
        <v>0.37452041318248896</v>
      </c>
    </row>
    <row r="698" spans="1:20" x14ac:dyDescent="0.3">
      <c r="A698">
        <v>10696</v>
      </c>
      <c r="B698" t="s">
        <v>29</v>
      </c>
      <c r="C698" t="s">
        <v>607</v>
      </c>
      <c r="D698" t="s">
        <v>617</v>
      </c>
      <c r="E698" t="s">
        <v>629</v>
      </c>
      <c r="F698" t="s">
        <v>1304</v>
      </c>
      <c r="G698" t="s">
        <v>1760</v>
      </c>
      <c r="H698" t="s">
        <v>1771</v>
      </c>
      <c r="I698" t="s">
        <v>1773</v>
      </c>
      <c r="J698" t="s">
        <v>1778</v>
      </c>
      <c r="K698">
        <v>18</v>
      </c>
      <c r="L698" s="2">
        <v>691</v>
      </c>
      <c r="M698">
        <v>0</v>
      </c>
      <c r="N698" s="2">
        <v>379.58</v>
      </c>
      <c r="O698" s="2">
        <v>12438</v>
      </c>
      <c r="P698" s="2">
        <v>6832.44</v>
      </c>
      <c r="Q698" s="2">
        <v>5605.56</v>
      </c>
      <c r="R698">
        <v>0</v>
      </c>
      <c r="S698" s="2" t="str">
        <f>TEXT(data[[#This Row],[Date]],"mmm yyyy")</f>
        <v>Apr 2025</v>
      </c>
      <c r="T698" s="8">
        <f>data[[#This Row],[Profit]]/data[[#This Row],[Revenue]]</f>
        <v>0.45068017366136037</v>
      </c>
    </row>
    <row r="699" spans="1:20" x14ac:dyDescent="0.3">
      <c r="A699">
        <v>10697</v>
      </c>
      <c r="B699" t="s">
        <v>70</v>
      </c>
      <c r="C699" t="s">
        <v>608</v>
      </c>
      <c r="D699" t="s">
        <v>615</v>
      </c>
      <c r="E699" t="s">
        <v>628</v>
      </c>
      <c r="F699" t="s">
        <v>1305</v>
      </c>
      <c r="G699" t="s">
        <v>1759</v>
      </c>
      <c r="H699" t="s">
        <v>1770</v>
      </c>
      <c r="I699" t="s">
        <v>1775</v>
      </c>
      <c r="J699" t="s">
        <v>1779</v>
      </c>
      <c r="K699">
        <v>15</v>
      </c>
      <c r="L699" s="2">
        <v>928</v>
      </c>
      <c r="M699">
        <v>0.15</v>
      </c>
      <c r="N699" s="2">
        <v>687.57</v>
      </c>
      <c r="O699" s="2">
        <v>11832</v>
      </c>
      <c r="P699" s="2">
        <v>10313.549999999999</v>
      </c>
      <c r="Q699" s="2">
        <v>1518.45</v>
      </c>
      <c r="R699">
        <v>0</v>
      </c>
      <c r="S699" s="2" t="str">
        <f>TEXT(data[[#This Row],[Date]],"mmm yyyy")</f>
        <v>Jul 2025</v>
      </c>
      <c r="T699" s="8">
        <f>data[[#This Row],[Profit]]/data[[#This Row],[Revenue]]</f>
        <v>0.12833417849898582</v>
      </c>
    </row>
    <row r="700" spans="1:20" x14ac:dyDescent="0.3">
      <c r="A700">
        <v>10698</v>
      </c>
      <c r="B700" t="s">
        <v>472</v>
      </c>
      <c r="C700" t="s">
        <v>609</v>
      </c>
      <c r="D700" t="s">
        <v>613</v>
      </c>
      <c r="E700" t="s">
        <v>627</v>
      </c>
      <c r="F700" t="s">
        <v>1306</v>
      </c>
      <c r="G700" t="s">
        <v>1763</v>
      </c>
      <c r="H700" t="s">
        <v>1772</v>
      </c>
      <c r="I700" t="s">
        <v>1775</v>
      </c>
      <c r="J700" t="s">
        <v>1777</v>
      </c>
      <c r="K700">
        <v>15</v>
      </c>
      <c r="L700" s="2">
        <v>720</v>
      </c>
      <c r="M700">
        <v>0.05</v>
      </c>
      <c r="N700" s="2">
        <v>512.21</v>
      </c>
      <c r="O700" s="2">
        <v>10260</v>
      </c>
      <c r="P700" s="2">
        <v>7683.15</v>
      </c>
      <c r="Q700" s="2">
        <v>2576.85</v>
      </c>
      <c r="R700">
        <v>0</v>
      </c>
      <c r="S700" s="2" t="str">
        <f>TEXT(data[[#This Row],[Date]],"mmm yyyy")</f>
        <v>Mar 2024</v>
      </c>
      <c r="T700" s="8">
        <f>data[[#This Row],[Profit]]/data[[#This Row],[Revenue]]</f>
        <v>0.25115497076023391</v>
      </c>
    </row>
    <row r="701" spans="1:20" x14ac:dyDescent="0.3">
      <c r="A701">
        <v>10699</v>
      </c>
      <c r="B701" t="s">
        <v>349</v>
      </c>
      <c r="C701" t="s">
        <v>607</v>
      </c>
      <c r="D701" t="s">
        <v>624</v>
      </c>
      <c r="E701" t="s">
        <v>627</v>
      </c>
      <c r="F701" t="s">
        <v>1307</v>
      </c>
      <c r="G701" t="s">
        <v>1765</v>
      </c>
      <c r="H701" t="s">
        <v>1772</v>
      </c>
      <c r="I701" t="s">
        <v>1774</v>
      </c>
      <c r="J701" t="s">
        <v>1777</v>
      </c>
      <c r="K701">
        <v>1</v>
      </c>
      <c r="L701" s="2">
        <v>615</v>
      </c>
      <c r="M701">
        <v>0.2</v>
      </c>
      <c r="N701" s="2">
        <v>335.6</v>
      </c>
      <c r="O701" s="2">
        <v>492</v>
      </c>
      <c r="P701" s="2">
        <v>335.6</v>
      </c>
      <c r="Q701" s="2">
        <v>156.4</v>
      </c>
      <c r="R701">
        <v>0</v>
      </c>
      <c r="S701" s="2" t="str">
        <f>TEXT(data[[#This Row],[Date]],"mmm yyyy")</f>
        <v>Nov 2025</v>
      </c>
      <c r="T701" s="8">
        <f>data[[#This Row],[Profit]]/data[[#This Row],[Revenue]]</f>
        <v>0.3178861788617886</v>
      </c>
    </row>
    <row r="702" spans="1:20" x14ac:dyDescent="0.3">
      <c r="A702">
        <v>10700</v>
      </c>
      <c r="B702" t="s">
        <v>92</v>
      </c>
      <c r="C702" t="s">
        <v>608</v>
      </c>
      <c r="D702" t="s">
        <v>614</v>
      </c>
      <c r="E702" t="s">
        <v>628</v>
      </c>
      <c r="F702" t="s">
        <v>1308</v>
      </c>
      <c r="G702" t="s">
        <v>1762</v>
      </c>
      <c r="H702" t="s">
        <v>1772</v>
      </c>
      <c r="I702" t="s">
        <v>1773</v>
      </c>
      <c r="J702" t="s">
        <v>1776</v>
      </c>
      <c r="K702">
        <v>20</v>
      </c>
      <c r="L702" s="2">
        <v>1182</v>
      </c>
      <c r="M702">
        <v>0.1</v>
      </c>
      <c r="N702" s="2">
        <v>866.7</v>
      </c>
      <c r="O702" s="2">
        <v>21276</v>
      </c>
      <c r="P702" s="2">
        <v>17334</v>
      </c>
      <c r="Q702" s="2">
        <v>3942</v>
      </c>
      <c r="R702">
        <v>0</v>
      </c>
      <c r="S702" s="2" t="str">
        <f>TEXT(data[[#This Row],[Date]],"mmm yyyy")</f>
        <v>Oct 2025</v>
      </c>
      <c r="T702" s="8">
        <f>data[[#This Row],[Profit]]/data[[#This Row],[Revenue]]</f>
        <v>0.18527918781725888</v>
      </c>
    </row>
    <row r="703" spans="1:20" x14ac:dyDescent="0.3">
      <c r="A703">
        <v>10701</v>
      </c>
      <c r="B703" t="s">
        <v>473</v>
      </c>
      <c r="C703" t="s">
        <v>606</v>
      </c>
      <c r="D703" t="s">
        <v>620</v>
      </c>
      <c r="E703" t="s">
        <v>629</v>
      </c>
      <c r="F703" t="s">
        <v>1309</v>
      </c>
      <c r="G703" t="s">
        <v>1759</v>
      </c>
      <c r="H703" t="s">
        <v>1772</v>
      </c>
      <c r="I703" t="s">
        <v>1773</v>
      </c>
      <c r="J703" t="s">
        <v>1777</v>
      </c>
      <c r="K703">
        <v>3</v>
      </c>
      <c r="L703" s="2">
        <v>928</v>
      </c>
      <c r="M703">
        <v>0</v>
      </c>
      <c r="N703" s="2">
        <v>672.42</v>
      </c>
      <c r="O703" s="2">
        <v>2784</v>
      </c>
      <c r="P703" s="2">
        <v>2017.26</v>
      </c>
      <c r="Q703" s="2">
        <v>766.74</v>
      </c>
      <c r="R703">
        <v>0</v>
      </c>
      <c r="S703" s="2" t="str">
        <f>TEXT(data[[#This Row],[Date]],"mmm yyyy")</f>
        <v>Oct 2025</v>
      </c>
      <c r="T703" s="8">
        <f>data[[#This Row],[Profit]]/data[[#This Row],[Revenue]]</f>
        <v>0.27540948275862071</v>
      </c>
    </row>
    <row r="704" spans="1:20" x14ac:dyDescent="0.3">
      <c r="A704">
        <v>10702</v>
      </c>
      <c r="B704" t="s">
        <v>397</v>
      </c>
      <c r="C704" t="s">
        <v>608</v>
      </c>
      <c r="D704" t="s">
        <v>615</v>
      </c>
      <c r="E704" t="s">
        <v>626</v>
      </c>
      <c r="F704" t="s">
        <v>1310</v>
      </c>
      <c r="G704" t="s">
        <v>1763</v>
      </c>
      <c r="H704" t="s">
        <v>1771</v>
      </c>
      <c r="I704" t="s">
        <v>1773</v>
      </c>
      <c r="J704" t="s">
        <v>1776</v>
      </c>
      <c r="K704">
        <v>12</v>
      </c>
      <c r="L704" s="2">
        <v>662</v>
      </c>
      <c r="M704">
        <v>0.2</v>
      </c>
      <c r="N704" s="2">
        <v>361.01</v>
      </c>
      <c r="O704" s="2">
        <v>6355.2</v>
      </c>
      <c r="P704" s="2">
        <v>4332.12</v>
      </c>
      <c r="Q704" s="2">
        <v>2023.08</v>
      </c>
      <c r="R704">
        <v>1</v>
      </c>
      <c r="S704" s="2" t="str">
        <f>TEXT(data[[#This Row],[Date]],"mmm yyyy")</f>
        <v>Mar 2025</v>
      </c>
      <c r="T704" s="8">
        <f>data[[#This Row],[Profit]]/data[[#This Row],[Revenue]]</f>
        <v>0.31833459214501508</v>
      </c>
    </row>
    <row r="705" spans="1:20" x14ac:dyDescent="0.3">
      <c r="A705">
        <v>10703</v>
      </c>
      <c r="B705" t="s">
        <v>247</v>
      </c>
      <c r="C705" t="s">
        <v>609</v>
      </c>
      <c r="D705" t="s">
        <v>613</v>
      </c>
      <c r="E705" t="s">
        <v>626</v>
      </c>
      <c r="F705" t="s">
        <v>880</v>
      </c>
      <c r="G705" t="s">
        <v>1759</v>
      </c>
      <c r="H705" t="s">
        <v>1771</v>
      </c>
      <c r="I705" t="s">
        <v>1775</v>
      </c>
      <c r="J705" t="s">
        <v>1776</v>
      </c>
      <c r="K705">
        <v>10</v>
      </c>
      <c r="L705" s="2">
        <v>358</v>
      </c>
      <c r="M705">
        <v>0.2</v>
      </c>
      <c r="N705" s="2">
        <v>226.07</v>
      </c>
      <c r="O705" s="2">
        <v>2864</v>
      </c>
      <c r="P705" s="2">
        <v>2260.6999999999998</v>
      </c>
      <c r="Q705" s="2">
        <v>603.29999999999995</v>
      </c>
      <c r="R705">
        <v>0</v>
      </c>
      <c r="S705" s="2" t="str">
        <f>TEXT(data[[#This Row],[Date]],"mmm yyyy")</f>
        <v>Feb 2024</v>
      </c>
      <c r="T705" s="8">
        <f>data[[#This Row],[Profit]]/data[[#This Row],[Revenue]]</f>
        <v>0.21064944134078212</v>
      </c>
    </row>
    <row r="706" spans="1:20" x14ac:dyDescent="0.3">
      <c r="A706">
        <v>10704</v>
      </c>
      <c r="B706" t="s">
        <v>319</v>
      </c>
      <c r="C706" t="s">
        <v>609</v>
      </c>
      <c r="D706" t="s">
        <v>619</v>
      </c>
      <c r="E706" t="s">
        <v>626</v>
      </c>
      <c r="F706" t="s">
        <v>1311</v>
      </c>
      <c r="G706" t="s">
        <v>1761</v>
      </c>
      <c r="H706" t="s">
        <v>1770</v>
      </c>
      <c r="I706" t="s">
        <v>1773</v>
      </c>
      <c r="J706" t="s">
        <v>1778</v>
      </c>
      <c r="K706">
        <v>2</v>
      </c>
      <c r="L706" s="2">
        <v>781</v>
      </c>
      <c r="M706">
        <v>0.2</v>
      </c>
      <c r="N706" s="2">
        <v>425.69</v>
      </c>
      <c r="O706" s="2">
        <v>1249.5999999999999</v>
      </c>
      <c r="P706" s="2">
        <v>851.38</v>
      </c>
      <c r="Q706" s="2">
        <v>398.22</v>
      </c>
      <c r="R706">
        <v>0</v>
      </c>
      <c r="S706" s="2" t="str">
        <f>TEXT(data[[#This Row],[Date]],"mmm yyyy")</f>
        <v>Aug 2025</v>
      </c>
      <c r="T706" s="8">
        <f>data[[#This Row],[Profit]]/data[[#This Row],[Revenue]]</f>
        <v>0.3186779769526249</v>
      </c>
    </row>
    <row r="707" spans="1:20" x14ac:dyDescent="0.3">
      <c r="A707">
        <v>10705</v>
      </c>
      <c r="B707" t="s">
        <v>412</v>
      </c>
      <c r="C707" t="s">
        <v>606</v>
      </c>
      <c r="D707" t="s">
        <v>620</v>
      </c>
      <c r="E707" t="s">
        <v>628</v>
      </c>
      <c r="F707" t="s">
        <v>1312</v>
      </c>
      <c r="G707" t="s">
        <v>1763</v>
      </c>
      <c r="H707" t="s">
        <v>1769</v>
      </c>
      <c r="I707" t="s">
        <v>1773</v>
      </c>
      <c r="J707" t="s">
        <v>1776</v>
      </c>
      <c r="K707">
        <v>9</v>
      </c>
      <c r="L707" s="2">
        <v>389</v>
      </c>
      <c r="M707">
        <v>0.15</v>
      </c>
      <c r="N707" s="2">
        <v>223.62</v>
      </c>
      <c r="O707" s="2">
        <v>2975.85</v>
      </c>
      <c r="P707" s="2">
        <v>2012.58</v>
      </c>
      <c r="Q707" s="2">
        <v>963.27</v>
      </c>
      <c r="R707">
        <v>1</v>
      </c>
      <c r="S707" s="2" t="str">
        <f>TEXT(data[[#This Row],[Date]],"mmm yyyy")</f>
        <v>Feb 2024</v>
      </c>
      <c r="T707" s="8">
        <f>data[[#This Row],[Profit]]/data[[#This Row],[Revenue]]</f>
        <v>0.32369575079389085</v>
      </c>
    </row>
    <row r="708" spans="1:20" x14ac:dyDescent="0.3">
      <c r="A708">
        <v>10706</v>
      </c>
      <c r="B708" t="s">
        <v>348</v>
      </c>
      <c r="C708" t="s">
        <v>607</v>
      </c>
      <c r="D708" t="s">
        <v>617</v>
      </c>
      <c r="E708" t="s">
        <v>627</v>
      </c>
      <c r="F708" t="s">
        <v>1313</v>
      </c>
      <c r="G708" t="s">
        <v>1759</v>
      </c>
      <c r="H708" t="s">
        <v>1767</v>
      </c>
      <c r="I708" t="s">
        <v>1773</v>
      </c>
      <c r="J708" t="s">
        <v>1778</v>
      </c>
      <c r="K708">
        <v>1</v>
      </c>
      <c r="L708" s="2">
        <v>268</v>
      </c>
      <c r="M708">
        <v>0.15</v>
      </c>
      <c r="N708" s="2">
        <v>137.91999999999999</v>
      </c>
      <c r="O708" s="2">
        <v>227.8</v>
      </c>
      <c r="P708" s="2">
        <v>137.91999999999999</v>
      </c>
      <c r="Q708" s="2">
        <v>89.88</v>
      </c>
      <c r="R708">
        <v>0</v>
      </c>
      <c r="S708" s="2" t="str">
        <f>TEXT(data[[#This Row],[Date]],"mmm yyyy")</f>
        <v>Sep 2024</v>
      </c>
      <c r="T708" s="8">
        <f>data[[#This Row],[Profit]]/data[[#This Row],[Revenue]]</f>
        <v>0.39455662862159785</v>
      </c>
    </row>
    <row r="709" spans="1:20" x14ac:dyDescent="0.3">
      <c r="A709">
        <v>10707</v>
      </c>
      <c r="B709" t="s">
        <v>474</v>
      </c>
      <c r="C709" t="s">
        <v>606</v>
      </c>
      <c r="D709" t="s">
        <v>620</v>
      </c>
      <c r="E709" t="s">
        <v>628</v>
      </c>
      <c r="F709" t="s">
        <v>1314</v>
      </c>
      <c r="G709" t="s">
        <v>1760</v>
      </c>
      <c r="H709" t="s">
        <v>1768</v>
      </c>
      <c r="I709" t="s">
        <v>1773</v>
      </c>
      <c r="J709" t="s">
        <v>1778</v>
      </c>
      <c r="K709">
        <v>4</v>
      </c>
      <c r="L709" s="2">
        <v>893</v>
      </c>
      <c r="M709">
        <v>0.1</v>
      </c>
      <c r="N709" s="2">
        <v>658.37</v>
      </c>
      <c r="O709" s="2">
        <v>3214.8</v>
      </c>
      <c r="P709" s="2">
        <v>2633.48</v>
      </c>
      <c r="Q709" s="2">
        <v>581.32000000000005</v>
      </c>
      <c r="R709">
        <v>0</v>
      </c>
      <c r="S709" s="2" t="str">
        <f>TEXT(data[[#This Row],[Date]],"mmm yyyy")</f>
        <v>Sep 2025</v>
      </c>
      <c r="T709" s="8">
        <f>data[[#This Row],[Profit]]/data[[#This Row],[Revenue]]</f>
        <v>0.18082617892248351</v>
      </c>
    </row>
    <row r="710" spans="1:20" x14ac:dyDescent="0.3">
      <c r="A710">
        <v>10708</v>
      </c>
      <c r="B710" t="s">
        <v>475</v>
      </c>
      <c r="C710" t="s">
        <v>606</v>
      </c>
      <c r="D710" t="s">
        <v>610</v>
      </c>
      <c r="E710" t="s">
        <v>629</v>
      </c>
      <c r="F710" t="s">
        <v>1315</v>
      </c>
      <c r="G710" t="s">
        <v>1762</v>
      </c>
      <c r="H710" t="s">
        <v>1768</v>
      </c>
      <c r="I710" t="s">
        <v>1773</v>
      </c>
      <c r="J710" t="s">
        <v>1778</v>
      </c>
      <c r="K710">
        <v>1</v>
      </c>
      <c r="L710" s="2">
        <v>885</v>
      </c>
      <c r="M710">
        <v>0.2</v>
      </c>
      <c r="N710" s="2">
        <v>530.21</v>
      </c>
      <c r="O710" s="2">
        <v>708</v>
      </c>
      <c r="P710" s="2">
        <v>530.21</v>
      </c>
      <c r="Q710" s="2">
        <v>177.79</v>
      </c>
      <c r="R710">
        <v>1</v>
      </c>
      <c r="S710" s="2" t="str">
        <f>TEXT(data[[#This Row],[Date]],"mmm yyyy")</f>
        <v>Jul 2024</v>
      </c>
      <c r="T710" s="8">
        <f>data[[#This Row],[Profit]]/data[[#This Row],[Revenue]]</f>
        <v>0.25111581920903953</v>
      </c>
    </row>
    <row r="711" spans="1:20" x14ac:dyDescent="0.3">
      <c r="A711">
        <v>10709</v>
      </c>
      <c r="B711" t="s">
        <v>380</v>
      </c>
      <c r="C711" t="s">
        <v>607</v>
      </c>
      <c r="D711" t="s">
        <v>611</v>
      </c>
      <c r="E711" t="s">
        <v>628</v>
      </c>
      <c r="F711" t="s">
        <v>1316</v>
      </c>
      <c r="G711" t="s">
        <v>1764</v>
      </c>
      <c r="H711" t="s">
        <v>1767</v>
      </c>
      <c r="I711" t="s">
        <v>1774</v>
      </c>
      <c r="J711" t="s">
        <v>1779</v>
      </c>
      <c r="K711">
        <v>4</v>
      </c>
      <c r="L711" s="2">
        <v>239</v>
      </c>
      <c r="M711">
        <v>0.05</v>
      </c>
      <c r="N711" s="2">
        <v>123.96</v>
      </c>
      <c r="O711" s="2">
        <v>908.2</v>
      </c>
      <c r="P711" s="2">
        <v>495.84</v>
      </c>
      <c r="Q711" s="2">
        <v>412.36</v>
      </c>
      <c r="R711">
        <v>0</v>
      </c>
      <c r="S711" s="2" t="str">
        <f>TEXT(data[[#This Row],[Date]],"mmm yyyy")</f>
        <v>Jun 2024</v>
      </c>
      <c r="T711" s="8">
        <f>data[[#This Row],[Profit]]/data[[#This Row],[Revenue]]</f>
        <v>0.45404096014093809</v>
      </c>
    </row>
    <row r="712" spans="1:20" x14ac:dyDescent="0.3">
      <c r="A712">
        <v>10710</v>
      </c>
      <c r="B712" t="s">
        <v>352</v>
      </c>
      <c r="C712" t="s">
        <v>607</v>
      </c>
      <c r="D712" t="s">
        <v>621</v>
      </c>
      <c r="E712" t="s">
        <v>629</v>
      </c>
      <c r="F712" t="s">
        <v>1317</v>
      </c>
      <c r="G712" t="s">
        <v>1763</v>
      </c>
      <c r="H712" t="s">
        <v>1768</v>
      </c>
      <c r="I712" t="s">
        <v>1774</v>
      </c>
      <c r="J712" t="s">
        <v>1777</v>
      </c>
      <c r="K712">
        <v>10</v>
      </c>
      <c r="L712" s="2">
        <v>1377</v>
      </c>
      <c r="M712">
        <v>0.05</v>
      </c>
      <c r="N712" s="2">
        <v>973.69</v>
      </c>
      <c r="O712" s="2">
        <v>13081.5</v>
      </c>
      <c r="P712" s="2">
        <v>9736.9</v>
      </c>
      <c r="Q712" s="2">
        <v>3344.6</v>
      </c>
      <c r="R712">
        <v>0</v>
      </c>
      <c r="S712" s="2" t="str">
        <f>TEXT(data[[#This Row],[Date]],"mmm yyyy")</f>
        <v>Feb 2025</v>
      </c>
      <c r="T712" s="8">
        <f>data[[#This Row],[Profit]]/data[[#This Row],[Revenue]]</f>
        <v>0.25567404349654094</v>
      </c>
    </row>
    <row r="713" spans="1:20" x14ac:dyDescent="0.3">
      <c r="A713">
        <v>10711</v>
      </c>
      <c r="B713" t="s">
        <v>396</v>
      </c>
      <c r="C713" t="s">
        <v>606</v>
      </c>
      <c r="D713" t="s">
        <v>616</v>
      </c>
      <c r="E713" t="s">
        <v>628</v>
      </c>
      <c r="F713" t="s">
        <v>1318</v>
      </c>
      <c r="G713" t="s">
        <v>1760</v>
      </c>
      <c r="H713" t="s">
        <v>1769</v>
      </c>
      <c r="I713" t="s">
        <v>1774</v>
      </c>
      <c r="J713" t="s">
        <v>1777</v>
      </c>
      <c r="K713">
        <v>17</v>
      </c>
      <c r="L713" s="2">
        <v>224</v>
      </c>
      <c r="M713">
        <v>0.2</v>
      </c>
      <c r="N713" s="2">
        <v>132.09</v>
      </c>
      <c r="O713" s="2">
        <v>3046.4</v>
      </c>
      <c r="P713" s="2">
        <v>2245.5300000000002</v>
      </c>
      <c r="Q713" s="2">
        <v>800.87</v>
      </c>
      <c r="R713">
        <v>1</v>
      </c>
      <c r="S713" s="2" t="str">
        <f>TEXT(data[[#This Row],[Date]],"mmm yyyy")</f>
        <v>Dec 2024</v>
      </c>
      <c r="T713" s="8">
        <f>data[[#This Row],[Profit]]/data[[#This Row],[Revenue]]</f>
        <v>0.26289062499999999</v>
      </c>
    </row>
    <row r="714" spans="1:20" x14ac:dyDescent="0.3">
      <c r="A714">
        <v>10712</v>
      </c>
      <c r="B714" t="s">
        <v>476</v>
      </c>
      <c r="C714" t="s">
        <v>608</v>
      </c>
      <c r="D714" t="s">
        <v>615</v>
      </c>
      <c r="E714" t="s">
        <v>628</v>
      </c>
      <c r="F714" t="s">
        <v>1319</v>
      </c>
      <c r="G714" t="s">
        <v>1760</v>
      </c>
      <c r="H714" t="s">
        <v>1770</v>
      </c>
      <c r="I714" t="s">
        <v>1774</v>
      </c>
      <c r="J714" t="s">
        <v>1778</v>
      </c>
      <c r="K714">
        <v>3</v>
      </c>
      <c r="L714" s="2">
        <v>463</v>
      </c>
      <c r="M714">
        <v>0.05</v>
      </c>
      <c r="N714" s="2">
        <v>338.8</v>
      </c>
      <c r="O714" s="2">
        <v>1319.55</v>
      </c>
      <c r="P714" s="2">
        <v>1016.4</v>
      </c>
      <c r="Q714" s="2">
        <v>303.14999999999998</v>
      </c>
      <c r="R714">
        <v>1</v>
      </c>
      <c r="S714" s="2" t="str">
        <f>TEXT(data[[#This Row],[Date]],"mmm yyyy")</f>
        <v>May 2024</v>
      </c>
      <c r="T714" s="8">
        <f>data[[#This Row],[Profit]]/data[[#This Row],[Revenue]]</f>
        <v>0.22973741048084573</v>
      </c>
    </row>
    <row r="715" spans="1:20" x14ac:dyDescent="0.3">
      <c r="A715">
        <v>10713</v>
      </c>
      <c r="B715" t="s">
        <v>174</v>
      </c>
      <c r="C715" t="s">
        <v>608</v>
      </c>
      <c r="D715" t="s">
        <v>618</v>
      </c>
      <c r="E715" t="s">
        <v>628</v>
      </c>
      <c r="F715" t="s">
        <v>1055</v>
      </c>
      <c r="G715" t="s">
        <v>1760</v>
      </c>
      <c r="H715" t="s">
        <v>1771</v>
      </c>
      <c r="I715" t="s">
        <v>1774</v>
      </c>
      <c r="J715" t="s">
        <v>1778</v>
      </c>
      <c r="K715">
        <v>11</v>
      </c>
      <c r="L715" s="2">
        <v>626</v>
      </c>
      <c r="M715">
        <v>0</v>
      </c>
      <c r="N715" s="2">
        <v>398.31</v>
      </c>
      <c r="O715" s="2">
        <v>6886</v>
      </c>
      <c r="P715" s="2">
        <v>4381.41</v>
      </c>
      <c r="Q715" s="2">
        <v>2504.59</v>
      </c>
      <c r="R715">
        <v>0</v>
      </c>
      <c r="S715" s="2" t="str">
        <f>TEXT(data[[#This Row],[Date]],"mmm yyyy")</f>
        <v>May 2025</v>
      </c>
      <c r="T715" s="8">
        <f>data[[#This Row],[Profit]]/data[[#This Row],[Revenue]]</f>
        <v>0.3637220447284345</v>
      </c>
    </row>
    <row r="716" spans="1:20" x14ac:dyDescent="0.3">
      <c r="A716">
        <v>10714</v>
      </c>
      <c r="B716" t="s">
        <v>313</v>
      </c>
      <c r="C716" t="s">
        <v>607</v>
      </c>
      <c r="D716" t="s">
        <v>611</v>
      </c>
      <c r="E716" t="s">
        <v>629</v>
      </c>
      <c r="F716" t="s">
        <v>1320</v>
      </c>
      <c r="G716" t="s">
        <v>1761</v>
      </c>
      <c r="H716" t="s">
        <v>1772</v>
      </c>
      <c r="I716" t="s">
        <v>1775</v>
      </c>
      <c r="J716" t="s">
        <v>1777</v>
      </c>
      <c r="K716">
        <v>11</v>
      </c>
      <c r="L716" s="2">
        <v>697</v>
      </c>
      <c r="M716">
        <v>0.05</v>
      </c>
      <c r="N716" s="2">
        <v>489.74</v>
      </c>
      <c r="O716" s="2">
        <v>7283.65</v>
      </c>
      <c r="P716" s="2">
        <v>5387.14</v>
      </c>
      <c r="Q716" s="2">
        <v>1896.51</v>
      </c>
      <c r="R716">
        <v>0</v>
      </c>
      <c r="S716" s="2" t="str">
        <f>TEXT(data[[#This Row],[Date]],"mmm yyyy")</f>
        <v>May 2025</v>
      </c>
      <c r="T716" s="8">
        <f>data[[#This Row],[Profit]]/data[[#This Row],[Revenue]]</f>
        <v>0.26037906818696671</v>
      </c>
    </row>
    <row r="717" spans="1:20" x14ac:dyDescent="0.3">
      <c r="A717">
        <v>10715</v>
      </c>
      <c r="B717" t="s">
        <v>440</v>
      </c>
      <c r="C717" t="s">
        <v>609</v>
      </c>
      <c r="D717" t="s">
        <v>619</v>
      </c>
      <c r="E717" t="s">
        <v>629</v>
      </c>
      <c r="F717" t="s">
        <v>1321</v>
      </c>
      <c r="G717" t="s">
        <v>1765</v>
      </c>
      <c r="H717" t="s">
        <v>1768</v>
      </c>
      <c r="I717" t="s">
        <v>1774</v>
      </c>
      <c r="J717" t="s">
        <v>1776</v>
      </c>
      <c r="K717">
        <v>20</v>
      </c>
      <c r="L717" s="2">
        <v>1264</v>
      </c>
      <c r="M717">
        <v>0.15</v>
      </c>
      <c r="N717" s="2">
        <v>807.75</v>
      </c>
      <c r="O717" s="2">
        <v>21488</v>
      </c>
      <c r="P717" s="2">
        <v>16155</v>
      </c>
      <c r="Q717" s="2">
        <v>5333</v>
      </c>
      <c r="R717">
        <v>0</v>
      </c>
      <c r="S717" s="2" t="str">
        <f>TEXT(data[[#This Row],[Date]],"mmm yyyy")</f>
        <v>Apr 2024</v>
      </c>
      <c r="T717" s="8">
        <f>data[[#This Row],[Profit]]/data[[#This Row],[Revenue]]</f>
        <v>0.24818503350707372</v>
      </c>
    </row>
    <row r="718" spans="1:20" x14ac:dyDescent="0.3">
      <c r="A718">
        <v>10716</v>
      </c>
      <c r="B718" t="s">
        <v>329</v>
      </c>
      <c r="C718" t="s">
        <v>607</v>
      </c>
      <c r="D718" t="s">
        <v>621</v>
      </c>
      <c r="E718" t="s">
        <v>629</v>
      </c>
      <c r="F718" t="s">
        <v>1322</v>
      </c>
      <c r="G718" t="s">
        <v>1760</v>
      </c>
      <c r="H718" t="s">
        <v>1772</v>
      </c>
      <c r="I718" t="s">
        <v>1773</v>
      </c>
      <c r="J718" t="s">
        <v>1776</v>
      </c>
      <c r="K718">
        <v>12</v>
      </c>
      <c r="L718" s="2">
        <v>988</v>
      </c>
      <c r="M718">
        <v>0.05</v>
      </c>
      <c r="N718" s="2">
        <v>528.25</v>
      </c>
      <c r="O718" s="2">
        <v>11263.2</v>
      </c>
      <c r="P718" s="2">
        <v>6339</v>
      </c>
      <c r="Q718" s="2">
        <v>4924.2</v>
      </c>
      <c r="R718">
        <v>0</v>
      </c>
      <c r="S718" s="2" t="str">
        <f>TEXT(data[[#This Row],[Date]],"mmm yyyy")</f>
        <v>Nov 2024</v>
      </c>
      <c r="T718" s="8">
        <f>data[[#This Row],[Profit]]/data[[#This Row],[Revenue]]</f>
        <v>0.43719369273385889</v>
      </c>
    </row>
    <row r="719" spans="1:20" x14ac:dyDescent="0.3">
      <c r="A719">
        <v>10717</v>
      </c>
      <c r="B719" t="s">
        <v>477</v>
      </c>
      <c r="C719" t="s">
        <v>606</v>
      </c>
      <c r="D719" t="s">
        <v>625</v>
      </c>
      <c r="E719" t="s">
        <v>628</v>
      </c>
      <c r="F719" t="s">
        <v>1323</v>
      </c>
      <c r="G719" t="s">
        <v>1765</v>
      </c>
      <c r="H719" t="s">
        <v>1768</v>
      </c>
      <c r="I719" t="s">
        <v>1773</v>
      </c>
      <c r="J719" t="s">
        <v>1779</v>
      </c>
      <c r="K719">
        <v>19</v>
      </c>
      <c r="L719" s="2">
        <v>1000</v>
      </c>
      <c r="M719">
        <v>0.05</v>
      </c>
      <c r="N719" s="2">
        <v>701.5</v>
      </c>
      <c r="O719" s="2">
        <v>18050</v>
      </c>
      <c r="P719" s="2">
        <v>13328.5</v>
      </c>
      <c r="Q719" s="2">
        <v>4721.5</v>
      </c>
      <c r="R719">
        <v>0</v>
      </c>
      <c r="S719" s="2" t="str">
        <f>TEXT(data[[#This Row],[Date]],"mmm yyyy")</f>
        <v>May 2025</v>
      </c>
      <c r="T719" s="8">
        <f>data[[#This Row],[Profit]]/data[[#This Row],[Revenue]]</f>
        <v>0.26157894736842108</v>
      </c>
    </row>
    <row r="720" spans="1:20" x14ac:dyDescent="0.3">
      <c r="A720">
        <v>10718</v>
      </c>
      <c r="B720" t="s">
        <v>478</v>
      </c>
      <c r="C720" t="s">
        <v>608</v>
      </c>
      <c r="D720" t="s">
        <v>615</v>
      </c>
      <c r="E720" t="s">
        <v>628</v>
      </c>
      <c r="F720" t="s">
        <v>1324</v>
      </c>
      <c r="G720" t="s">
        <v>1765</v>
      </c>
      <c r="H720" t="s">
        <v>1770</v>
      </c>
      <c r="I720" t="s">
        <v>1775</v>
      </c>
      <c r="J720" t="s">
        <v>1777</v>
      </c>
      <c r="K720">
        <v>19</v>
      </c>
      <c r="L720" s="2">
        <v>988</v>
      </c>
      <c r="M720">
        <v>0.05</v>
      </c>
      <c r="N720" s="2">
        <v>517.22</v>
      </c>
      <c r="O720" s="2">
        <v>17833.400000000001</v>
      </c>
      <c r="P720" s="2">
        <v>9827.18</v>
      </c>
      <c r="Q720" s="2">
        <v>8006.22</v>
      </c>
      <c r="R720">
        <v>0</v>
      </c>
      <c r="S720" s="2" t="str">
        <f>TEXT(data[[#This Row],[Date]],"mmm yyyy")</f>
        <v>Mar 2024</v>
      </c>
      <c r="T720" s="8">
        <f>data[[#This Row],[Profit]]/data[[#This Row],[Revenue]]</f>
        <v>0.44894523758789684</v>
      </c>
    </row>
    <row r="721" spans="1:20" x14ac:dyDescent="0.3">
      <c r="A721">
        <v>10719</v>
      </c>
      <c r="B721" t="s">
        <v>479</v>
      </c>
      <c r="C721" t="s">
        <v>606</v>
      </c>
      <c r="D721" t="s">
        <v>610</v>
      </c>
      <c r="E721" t="s">
        <v>626</v>
      </c>
      <c r="F721" t="s">
        <v>1325</v>
      </c>
      <c r="G721" t="s">
        <v>1760</v>
      </c>
      <c r="H721" t="s">
        <v>1772</v>
      </c>
      <c r="I721" t="s">
        <v>1773</v>
      </c>
      <c r="J721" t="s">
        <v>1779</v>
      </c>
      <c r="K721">
        <v>15</v>
      </c>
      <c r="L721" s="2">
        <v>1143</v>
      </c>
      <c r="M721">
        <v>0.2</v>
      </c>
      <c r="N721" s="2">
        <v>841.68</v>
      </c>
      <c r="O721" s="2">
        <v>13716</v>
      </c>
      <c r="P721" s="2">
        <v>12625.2</v>
      </c>
      <c r="Q721" s="2">
        <v>1090.8</v>
      </c>
      <c r="R721">
        <v>0</v>
      </c>
      <c r="S721" s="2" t="str">
        <f>TEXT(data[[#This Row],[Date]],"mmm yyyy")</f>
        <v>Jun 2025</v>
      </c>
      <c r="T721" s="8">
        <f>data[[#This Row],[Profit]]/data[[#This Row],[Revenue]]</f>
        <v>7.9527559055118102E-2</v>
      </c>
    </row>
    <row r="722" spans="1:20" x14ac:dyDescent="0.3">
      <c r="A722">
        <v>10720</v>
      </c>
      <c r="B722" t="s">
        <v>444</v>
      </c>
      <c r="C722" t="s">
        <v>609</v>
      </c>
      <c r="D722" t="s">
        <v>613</v>
      </c>
      <c r="E722" t="s">
        <v>628</v>
      </c>
      <c r="F722" t="s">
        <v>1139</v>
      </c>
      <c r="G722" t="s">
        <v>1766</v>
      </c>
      <c r="H722" t="s">
        <v>1769</v>
      </c>
      <c r="I722" t="s">
        <v>1773</v>
      </c>
      <c r="J722" t="s">
        <v>1778</v>
      </c>
      <c r="K722">
        <v>14</v>
      </c>
      <c r="L722" s="2">
        <v>240</v>
      </c>
      <c r="M722">
        <v>0</v>
      </c>
      <c r="N722" s="2">
        <v>170.33</v>
      </c>
      <c r="O722" s="2">
        <v>3360</v>
      </c>
      <c r="P722" s="2">
        <v>2384.62</v>
      </c>
      <c r="Q722" s="2">
        <v>975.38</v>
      </c>
      <c r="R722">
        <v>0</v>
      </c>
      <c r="S722" s="2" t="str">
        <f>TEXT(data[[#This Row],[Date]],"mmm yyyy")</f>
        <v>Jul 2024</v>
      </c>
      <c r="T722" s="8">
        <f>data[[#This Row],[Profit]]/data[[#This Row],[Revenue]]</f>
        <v>0.29029166666666667</v>
      </c>
    </row>
    <row r="723" spans="1:20" x14ac:dyDescent="0.3">
      <c r="A723">
        <v>10721</v>
      </c>
      <c r="B723" t="s">
        <v>238</v>
      </c>
      <c r="C723" t="s">
        <v>606</v>
      </c>
      <c r="D723" t="s">
        <v>620</v>
      </c>
      <c r="E723" t="s">
        <v>629</v>
      </c>
      <c r="F723" t="s">
        <v>1326</v>
      </c>
      <c r="G723" t="s">
        <v>1765</v>
      </c>
      <c r="H723" t="s">
        <v>1769</v>
      </c>
      <c r="I723" t="s">
        <v>1773</v>
      </c>
      <c r="J723" t="s">
        <v>1778</v>
      </c>
      <c r="K723">
        <v>17</v>
      </c>
      <c r="L723" s="2">
        <v>180</v>
      </c>
      <c r="M723">
        <v>0.2</v>
      </c>
      <c r="N723" s="2">
        <v>100.71</v>
      </c>
      <c r="O723" s="2">
        <v>2448</v>
      </c>
      <c r="P723" s="2">
        <v>1712.07</v>
      </c>
      <c r="Q723" s="2">
        <v>735.93</v>
      </c>
      <c r="R723">
        <v>0</v>
      </c>
      <c r="S723" s="2" t="str">
        <f>TEXT(data[[#This Row],[Date]],"mmm yyyy")</f>
        <v>Sep 2025</v>
      </c>
      <c r="T723" s="8">
        <f>data[[#This Row],[Profit]]/data[[#This Row],[Revenue]]</f>
        <v>0.30062499999999998</v>
      </c>
    </row>
    <row r="724" spans="1:20" x14ac:dyDescent="0.3">
      <c r="A724">
        <v>10722</v>
      </c>
      <c r="B724" t="s">
        <v>23</v>
      </c>
      <c r="C724" t="s">
        <v>607</v>
      </c>
      <c r="D724" t="s">
        <v>611</v>
      </c>
      <c r="E724" t="s">
        <v>629</v>
      </c>
      <c r="F724" t="s">
        <v>1327</v>
      </c>
      <c r="G724" t="s">
        <v>1762</v>
      </c>
      <c r="H724" t="s">
        <v>1768</v>
      </c>
      <c r="I724" t="s">
        <v>1775</v>
      </c>
      <c r="J724" t="s">
        <v>1779</v>
      </c>
      <c r="K724">
        <v>18</v>
      </c>
      <c r="L724" s="2">
        <v>809</v>
      </c>
      <c r="M724">
        <v>0</v>
      </c>
      <c r="N724" s="2">
        <v>458.09</v>
      </c>
      <c r="O724" s="2">
        <v>14562</v>
      </c>
      <c r="P724" s="2">
        <v>8245.6200000000008</v>
      </c>
      <c r="Q724" s="2">
        <v>6316.38</v>
      </c>
      <c r="R724">
        <v>0</v>
      </c>
      <c r="S724" s="2" t="str">
        <f>TEXT(data[[#This Row],[Date]],"mmm yyyy")</f>
        <v>Dec 2024</v>
      </c>
      <c r="T724" s="8">
        <f>data[[#This Row],[Profit]]/data[[#This Row],[Revenue]]</f>
        <v>0.43375772558714465</v>
      </c>
    </row>
    <row r="725" spans="1:20" x14ac:dyDescent="0.3">
      <c r="A725">
        <v>10723</v>
      </c>
      <c r="B725" t="s">
        <v>242</v>
      </c>
      <c r="C725" t="s">
        <v>608</v>
      </c>
      <c r="D725" t="s">
        <v>612</v>
      </c>
      <c r="E725" t="s">
        <v>626</v>
      </c>
      <c r="F725" t="s">
        <v>1328</v>
      </c>
      <c r="G725" t="s">
        <v>1762</v>
      </c>
      <c r="H725" t="s">
        <v>1772</v>
      </c>
      <c r="I725" t="s">
        <v>1773</v>
      </c>
      <c r="J725" t="s">
        <v>1778</v>
      </c>
      <c r="K725">
        <v>13</v>
      </c>
      <c r="L725" s="2">
        <v>563</v>
      </c>
      <c r="M725">
        <v>0.1</v>
      </c>
      <c r="N725" s="2">
        <v>389.56</v>
      </c>
      <c r="O725" s="2">
        <v>6587.1</v>
      </c>
      <c r="P725" s="2">
        <v>5064.28</v>
      </c>
      <c r="Q725" s="2">
        <v>1522.82</v>
      </c>
      <c r="R725">
        <v>0</v>
      </c>
      <c r="S725" s="2" t="str">
        <f>TEXT(data[[#This Row],[Date]],"mmm yyyy")</f>
        <v>Jul 2024</v>
      </c>
      <c r="T725" s="8">
        <f>data[[#This Row],[Profit]]/data[[#This Row],[Revenue]]</f>
        <v>0.2311821590684823</v>
      </c>
    </row>
    <row r="726" spans="1:20" x14ac:dyDescent="0.3">
      <c r="A726">
        <v>10724</v>
      </c>
      <c r="B726" t="s">
        <v>165</v>
      </c>
      <c r="C726" t="s">
        <v>607</v>
      </c>
      <c r="D726" t="s">
        <v>624</v>
      </c>
      <c r="E726" t="s">
        <v>628</v>
      </c>
      <c r="F726" t="s">
        <v>1329</v>
      </c>
      <c r="G726" t="s">
        <v>1765</v>
      </c>
      <c r="H726" t="s">
        <v>1770</v>
      </c>
      <c r="I726" t="s">
        <v>1774</v>
      </c>
      <c r="J726" t="s">
        <v>1778</v>
      </c>
      <c r="K726">
        <v>5</v>
      </c>
      <c r="L726" s="2">
        <v>728</v>
      </c>
      <c r="M726">
        <v>0.15</v>
      </c>
      <c r="N726" s="2">
        <v>529.95000000000005</v>
      </c>
      <c r="O726" s="2">
        <v>3094</v>
      </c>
      <c r="P726" s="2">
        <v>2649.75</v>
      </c>
      <c r="Q726" s="2">
        <v>444.25</v>
      </c>
      <c r="R726">
        <v>1</v>
      </c>
      <c r="S726" s="2" t="str">
        <f>TEXT(data[[#This Row],[Date]],"mmm yyyy")</f>
        <v>Oct 2024</v>
      </c>
      <c r="T726" s="8">
        <f>data[[#This Row],[Profit]]/data[[#This Row],[Revenue]]</f>
        <v>0.14358435681965093</v>
      </c>
    </row>
    <row r="727" spans="1:20" x14ac:dyDescent="0.3">
      <c r="A727">
        <v>10725</v>
      </c>
      <c r="B727" t="s">
        <v>480</v>
      </c>
      <c r="C727" t="s">
        <v>609</v>
      </c>
      <c r="D727" t="s">
        <v>622</v>
      </c>
      <c r="E727" t="s">
        <v>627</v>
      </c>
      <c r="F727" t="s">
        <v>1330</v>
      </c>
      <c r="G727" t="s">
        <v>1760</v>
      </c>
      <c r="H727" t="s">
        <v>1770</v>
      </c>
      <c r="I727" t="s">
        <v>1773</v>
      </c>
      <c r="J727" t="s">
        <v>1778</v>
      </c>
      <c r="K727">
        <v>3</v>
      </c>
      <c r="L727" s="2">
        <v>971</v>
      </c>
      <c r="M727">
        <v>0.15</v>
      </c>
      <c r="N727" s="2">
        <v>700.71</v>
      </c>
      <c r="O727" s="2">
        <v>2476.0500000000002</v>
      </c>
      <c r="P727" s="2">
        <v>2102.13</v>
      </c>
      <c r="Q727" s="2">
        <v>373.92</v>
      </c>
      <c r="R727">
        <v>1</v>
      </c>
      <c r="S727" s="2" t="str">
        <f>TEXT(data[[#This Row],[Date]],"mmm yyyy")</f>
        <v>Jan 2024</v>
      </c>
      <c r="T727" s="8">
        <f>data[[#This Row],[Profit]]/data[[#This Row],[Revenue]]</f>
        <v>0.1510147210274429</v>
      </c>
    </row>
    <row r="728" spans="1:20" x14ac:dyDescent="0.3">
      <c r="A728">
        <v>10726</v>
      </c>
      <c r="B728" t="s">
        <v>481</v>
      </c>
      <c r="C728" t="s">
        <v>608</v>
      </c>
      <c r="D728" t="s">
        <v>618</v>
      </c>
      <c r="E728" t="s">
        <v>629</v>
      </c>
      <c r="F728" t="s">
        <v>1331</v>
      </c>
      <c r="G728" t="s">
        <v>1759</v>
      </c>
      <c r="H728" t="s">
        <v>1769</v>
      </c>
      <c r="I728" t="s">
        <v>1774</v>
      </c>
      <c r="J728" t="s">
        <v>1777</v>
      </c>
      <c r="K728">
        <v>1</v>
      </c>
      <c r="L728" s="2">
        <v>392</v>
      </c>
      <c r="M728">
        <v>0.15</v>
      </c>
      <c r="N728" s="2">
        <v>199.54</v>
      </c>
      <c r="O728" s="2">
        <v>333.2</v>
      </c>
      <c r="P728" s="2">
        <v>199.54</v>
      </c>
      <c r="Q728" s="2">
        <v>133.66</v>
      </c>
      <c r="R728">
        <v>0</v>
      </c>
      <c r="S728" s="2" t="str">
        <f>TEXT(data[[#This Row],[Date]],"mmm yyyy")</f>
        <v>Feb 2025</v>
      </c>
      <c r="T728" s="8">
        <f>data[[#This Row],[Profit]]/data[[#This Row],[Revenue]]</f>
        <v>0.40114045618247302</v>
      </c>
    </row>
    <row r="729" spans="1:20" x14ac:dyDescent="0.3">
      <c r="A729">
        <v>10727</v>
      </c>
      <c r="B729" t="s">
        <v>482</v>
      </c>
      <c r="C729" t="s">
        <v>607</v>
      </c>
      <c r="D729" t="s">
        <v>624</v>
      </c>
      <c r="E729" t="s">
        <v>627</v>
      </c>
      <c r="F729" t="s">
        <v>1332</v>
      </c>
      <c r="G729" t="s">
        <v>1766</v>
      </c>
      <c r="H729" t="s">
        <v>1771</v>
      </c>
      <c r="I729" t="s">
        <v>1774</v>
      </c>
      <c r="J729" t="s">
        <v>1776</v>
      </c>
      <c r="K729">
        <v>11</v>
      </c>
      <c r="L729" s="2">
        <v>360</v>
      </c>
      <c r="M729">
        <v>0.1</v>
      </c>
      <c r="N729" s="2">
        <v>262.87</v>
      </c>
      <c r="O729" s="2">
        <v>3564</v>
      </c>
      <c r="P729" s="2">
        <v>2891.57</v>
      </c>
      <c r="Q729" s="2">
        <v>672.43</v>
      </c>
      <c r="R729">
        <v>1</v>
      </c>
      <c r="S729" s="2" t="str">
        <f>TEXT(data[[#This Row],[Date]],"mmm yyyy")</f>
        <v>Feb 2024</v>
      </c>
      <c r="T729" s="8">
        <f>data[[#This Row],[Profit]]/data[[#This Row],[Revenue]]</f>
        <v>0.18867283950617283</v>
      </c>
    </row>
    <row r="730" spans="1:20" x14ac:dyDescent="0.3">
      <c r="A730">
        <v>10728</v>
      </c>
      <c r="B730" t="s">
        <v>483</v>
      </c>
      <c r="C730" t="s">
        <v>606</v>
      </c>
      <c r="D730" t="s">
        <v>625</v>
      </c>
      <c r="E730" t="s">
        <v>629</v>
      </c>
      <c r="F730" t="s">
        <v>1333</v>
      </c>
      <c r="G730" t="s">
        <v>1763</v>
      </c>
      <c r="H730" t="s">
        <v>1767</v>
      </c>
      <c r="I730" t="s">
        <v>1775</v>
      </c>
      <c r="J730" t="s">
        <v>1779</v>
      </c>
      <c r="K730">
        <v>1</v>
      </c>
      <c r="L730" s="2">
        <v>156</v>
      </c>
      <c r="M730">
        <v>0.1</v>
      </c>
      <c r="N730" s="2">
        <v>84.37</v>
      </c>
      <c r="O730" s="2">
        <v>140.4</v>
      </c>
      <c r="P730" s="2">
        <v>84.37</v>
      </c>
      <c r="Q730" s="2">
        <v>56.03</v>
      </c>
      <c r="R730">
        <v>1</v>
      </c>
      <c r="S730" s="2" t="str">
        <f>TEXT(data[[#This Row],[Date]],"mmm yyyy")</f>
        <v>Jan 2025</v>
      </c>
      <c r="T730" s="8">
        <f>data[[#This Row],[Profit]]/data[[#This Row],[Revenue]]</f>
        <v>0.39907407407407408</v>
      </c>
    </row>
    <row r="731" spans="1:20" x14ac:dyDescent="0.3">
      <c r="A731">
        <v>10729</v>
      </c>
      <c r="B731" t="s">
        <v>124</v>
      </c>
      <c r="C731" t="s">
        <v>608</v>
      </c>
      <c r="D731" t="s">
        <v>612</v>
      </c>
      <c r="E731" t="s">
        <v>628</v>
      </c>
      <c r="F731" t="s">
        <v>1334</v>
      </c>
      <c r="G731" t="s">
        <v>1762</v>
      </c>
      <c r="H731" t="s">
        <v>1771</v>
      </c>
      <c r="I731" t="s">
        <v>1773</v>
      </c>
      <c r="J731" t="s">
        <v>1779</v>
      </c>
      <c r="K731">
        <v>4</v>
      </c>
      <c r="L731" s="2">
        <v>557</v>
      </c>
      <c r="M731">
        <v>0.05</v>
      </c>
      <c r="N731" s="2">
        <v>335.92</v>
      </c>
      <c r="O731" s="2">
        <v>2116.6</v>
      </c>
      <c r="P731" s="2">
        <v>1343.68</v>
      </c>
      <c r="Q731" s="2">
        <v>772.92</v>
      </c>
      <c r="R731">
        <v>0</v>
      </c>
      <c r="S731" s="2" t="str">
        <f>TEXT(data[[#This Row],[Date]],"mmm yyyy")</f>
        <v>Sep 2024</v>
      </c>
      <c r="T731" s="8">
        <f>data[[#This Row],[Profit]]/data[[#This Row],[Revenue]]</f>
        <v>0.36517055655296232</v>
      </c>
    </row>
    <row r="732" spans="1:20" x14ac:dyDescent="0.3">
      <c r="A732">
        <v>10730</v>
      </c>
      <c r="B732" t="s">
        <v>210</v>
      </c>
      <c r="C732" t="s">
        <v>606</v>
      </c>
      <c r="D732" t="s">
        <v>620</v>
      </c>
      <c r="E732" t="s">
        <v>629</v>
      </c>
      <c r="F732" t="s">
        <v>1335</v>
      </c>
      <c r="G732" t="s">
        <v>1766</v>
      </c>
      <c r="H732" t="s">
        <v>1768</v>
      </c>
      <c r="I732" t="s">
        <v>1774</v>
      </c>
      <c r="J732" t="s">
        <v>1777</v>
      </c>
      <c r="K732">
        <v>11</v>
      </c>
      <c r="L732" s="2">
        <v>1052</v>
      </c>
      <c r="M732">
        <v>0.05</v>
      </c>
      <c r="N732" s="2">
        <v>571.79</v>
      </c>
      <c r="O732" s="2">
        <v>10993.4</v>
      </c>
      <c r="P732" s="2">
        <v>6289.69</v>
      </c>
      <c r="Q732" s="2">
        <v>4703.71</v>
      </c>
      <c r="R732">
        <v>1</v>
      </c>
      <c r="S732" s="2" t="str">
        <f>TEXT(data[[#This Row],[Date]],"mmm yyyy")</f>
        <v>May 2024</v>
      </c>
      <c r="T732" s="8">
        <f>data[[#This Row],[Profit]]/data[[#This Row],[Revenue]]</f>
        <v>0.42786672003201925</v>
      </c>
    </row>
    <row r="733" spans="1:20" x14ac:dyDescent="0.3">
      <c r="A733">
        <v>10731</v>
      </c>
      <c r="B733" t="s">
        <v>320</v>
      </c>
      <c r="C733" t="s">
        <v>606</v>
      </c>
      <c r="D733" t="s">
        <v>620</v>
      </c>
      <c r="E733" t="s">
        <v>626</v>
      </c>
      <c r="F733" t="s">
        <v>667</v>
      </c>
      <c r="G733" t="s">
        <v>1764</v>
      </c>
      <c r="H733" t="s">
        <v>1767</v>
      </c>
      <c r="I733" t="s">
        <v>1774</v>
      </c>
      <c r="J733" t="s">
        <v>1776</v>
      </c>
      <c r="K733">
        <v>16</v>
      </c>
      <c r="L733" s="2">
        <v>248</v>
      </c>
      <c r="M733">
        <v>0.2</v>
      </c>
      <c r="N733" s="2">
        <v>171.06</v>
      </c>
      <c r="O733" s="2">
        <v>3174.4</v>
      </c>
      <c r="P733" s="2">
        <v>2736.96</v>
      </c>
      <c r="Q733" s="2">
        <v>437.44</v>
      </c>
      <c r="R733">
        <v>1</v>
      </c>
      <c r="S733" s="2" t="str">
        <f>TEXT(data[[#This Row],[Date]],"mmm yyyy")</f>
        <v>Dec 2024</v>
      </c>
      <c r="T733" s="8">
        <f>data[[#This Row],[Profit]]/data[[#This Row],[Revenue]]</f>
        <v>0.1378024193548387</v>
      </c>
    </row>
    <row r="734" spans="1:20" x14ac:dyDescent="0.3">
      <c r="A734">
        <v>10732</v>
      </c>
      <c r="B734" t="s">
        <v>484</v>
      </c>
      <c r="C734" t="s">
        <v>607</v>
      </c>
      <c r="D734" t="s">
        <v>621</v>
      </c>
      <c r="E734" t="s">
        <v>628</v>
      </c>
      <c r="F734" t="s">
        <v>1336</v>
      </c>
      <c r="G734" t="s">
        <v>1766</v>
      </c>
      <c r="H734" t="s">
        <v>1767</v>
      </c>
      <c r="I734" t="s">
        <v>1773</v>
      </c>
      <c r="J734" t="s">
        <v>1778</v>
      </c>
      <c r="K734">
        <v>15</v>
      </c>
      <c r="L734" s="2">
        <v>230</v>
      </c>
      <c r="M734">
        <v>0.15</v>
      </c>
      <c r="N734" s="2">
        <v>172.09</v>
      </c>
      <c r="O734" s="2">
        <v>2932.5</v>
      </c>
      <c r="P734" s="2">
        <v>2581.35</v>
      </c>
      <c r="Q734" s="2">
        <v>351.15</v>
      </c>
      <c r="R734">
        <v>0</v>
      </c>
      <c r="S734" s="2" t="str">
        <f>TEXT(data[[#This Row],[Date]],"mmm yyyy")</f>
        <v>Aug 2024</v>
      </c>
      <c r="T734" s="8">
        <f>data[[#This Row],[Profit]]/data[[#This Row],[Revenue]]</f>
        <v>0.11974424552429666</v>
      </c>
    </row>
    <row r="735" spans="1:20" x14ac:dyDescent="0.3">
      <c r="A735">
        <v>10733</v>
      </c>
      <c r="B735" t="s">
        <v>485</v>
      </c>
      <c r="C735" t="s">
        <v>606</v>
      </c>
      <c r="D735" t="s">
        <v>616</v>
      </c>
      <c r="E735" t="s">
        <v>627</v>
      </c>
      <c r="F735" t="s">
        <v>1337</v>
      </c>
      <c r="G735" t="s">
        <v>1765</v>
      </c>
      <c r="H735" t="s">
        <v>1769</v>
      </c>
      <c r="I735" t="s">
        <v>1775</v>
      </c>
      <c r="J735" t="s">
        <v>1777</v>
      </c>
      <c r="K735">
        <v>16</v>
      </c>
      <c r="L735" s="2">
        <v>294</v>
      </c>
      <c r="M735">
        <v>0.1</v>
      </c>
      <c r="N735" s="2">
        <v>152.18</v>
      </c>
      <c r="O735" s="2">
        <v>4233.6000000000004</v>
      </c>
      <c r="P735" s="2">
        <v>2434.88</v>
      </c>
      <c r="Q735" s="2">
        <v>1798.72</v>
      </c>
      <c r="R735">
        <v>0</v>
      </c>
      <c r="S735" s="2" t="str">
        <f>TEXT(data[[#This Row],[Date]],"mmm yyyy")</f>
        <v>Jan 2025</v>
      </c>
      <c r="T735" s="8">
        <f>data[[#This Row],[Profit]]/data[[#This Row],[Revenue]]</f>
        <v>0.42486772486772484</v>
      </c>
    </row>
    <row r="736" spans="1:20" x14ac:dyDescent="0.3">
      <c r="A736">
        <v>10734</v>
      </c>
      <c r="B736" t="s">
        <v>182</v>
      </c>
      <c r="C736" t="s">
        <v>607</v>
      </c>
      <c r="D736" t="s">
        <v>621</v>
      </c>
      <c r="E736" t="s">
        <v>626</v>
      </c>
      <c r="F736" t="s">
        <v>1338</v>
      </c>
      <c r="G736" t="s">
        <v>1761</v>
      </c>
      <c r="H736" t="s">
        <v>1769</v>
      </c>
      <c r="I736" t="s">
        <v>1775</v>
      </c>
      <c r="J736" t="s">
        <v>1778</v>
      </c>
      <c r="K736">
        <v>10</v>
      </c>
      <c r="L736" s="2">
        <v>377</v>
      </c>
      <c r="M736">
        <v>0.2</v>
      </c>
      <c r="N736" s="2">
        <v>252.06</v>
      </c>
      <c r="O736" s="2">
        <v>3016</v>
      </c>
      <c r="P736" s="2">
        <v>2520.6</v>
      </c>
      <c r="Q736" s="2">
        <v>495.4</v>
      </c>
      <c r="R736">
        <v>0</v>
      </c>
      <c r="S736" s="2" t="str">
        <f>TEXT(data[[#This Row],[Date]],"mmm yyyy")</f>
        <v>Nov 2025</v>
      </c>
      <c r="T736" s="8">
        <f>data[[#This Row],[Profit]]/data[[#This Row],[Revenue]]</f>
        <v>0.16425729442970821</v>
      </c>
    </row>
    <row r="737" spans="1:20" x14ac:dyDescent="0.3">
      <c r="A737">
        <v>10735</v>
      </c>
      <c r="B737" t="s">
        <v>486</v>
      </c>
      <c r="C737" t="s">
        <v>607</v>
      </c>
      <c r="D737" t="s">
        <v>621</v>
      </c>
      <c r="E737" t="s">
        <v>627</v>
      </c>
      <c r="F737" t="s">
        <v>1339</v>
      </c>
      <c r="G737" t="s">
        <v>1765</v>
      </c>
      <c r="H737" t="s">
        <v>1771</v>
      </c>
      <c r="I737" t="s">
        <v>1773</v>
      </c>
      <c r="J737" t="s">
        <v>1778</v>
      </c>
      <c r="K737">
        <v>8</v>
      </c>
      <c r="L737" s="2">
        <v>521</v>
      </c>
      <c r="M737">
        <v>0.1</v>
      </c>
      <c r="N737" s="2">
        <v>320.82</v>
      </c>
      <c r="O737" s="2">
        <v>3751.2</v>
      </c>
      <c r="P737" s="2">
        <v>2566.56</v>
      </c>
      <c r="Q737" s="2">
        <v>1184.6400000000001</v>
      </c>
      <c r="R737">
        <v>0</v>
      </c>
      <c r="S737" s="2" t="str">
        <f>TEXT(data[[#This Row],[Date]],"mmm yyyy")</f>
        <v>Mar 2025</v>
      </c>
      <c r="T737" s="8">
        <f>data[[#This Row],[Profit]]/data[[#This Row],[Revenue]]</f>
        <v>0.31580294305822143</v>
      </c>
    </row>
    <row r="738" spans="1:20" x14ac:dyDescent="0.3">
      <c r="A738">
        <v>10736</v>
      </c>
      <c r="B738" t="s">
        <v>487</v>
      </c>
      <c r="C738" t="s">
        <v>608</v>
      </c>
      <c r="D738" t="s">
        <v>618</v>
      </c>
      <c r="E738" t="s">
        <v>626</v>
      </c>
      <c r="F738" t="s">
        <v>1340</v>
      </c>
      <c r="G738" t="s">
        <v>1766</v>
      </c>
      <c r="H738" t="s">
        <v>1771</v>
      </c>
      <c r="I738" t="s">
        <v>1775</v>
      </c>
      <c r="J738" t="s">
        <v>1776</v>
      </c>
      <c r="K738">
        <v>2</v>
      </c>
      <c r="L738" s="2">
        <v>657</v>
      </c>
      <c r="M738">
        <v>0</v>
      </c>
      <c r="N738" s="2">
        <v>450.05</v>
      </c>
      <c r="O738" s="2">
        <v>1314</v>
      </c>
      <c r="P738" s="2">
        <v>900.1</v>
      </c>
      <c r="Q738" s="2">
        <v>413.9</v>
      </c>
      <c r="R738">
        <v>0</v>
      </c>
      <c r="S738" s="2" t="str">
        <f>TEXT(data[[#This Row],[Date]],"mmm yyyy")</f>
        <v>Jan 2024</v>
      </c>
      <c r="T738" s="8">
        <f>data[[#This Row],[Profit]]/data[[#This Row],[Revenue]]</f>
        <v>0.31499238964992388</v>
      </c>
    </row>
    <row r="739" spans="1:20" x14ac:dyDescent="0.3">
      <c r="A739">
        <v>10737</v>
      </c>
      <c r="B739" t="s">
        <v>488</v>
      </c>
      <c r="C739" t="s">
        <v>606</v>
      </c>
      <c r="D739" t="s">
        <v>620</v>
      </c>
      <c r="E739" t="s">
        <v>627</v>
      </c>
      <c r="F739" t="s">
        <v>1341</v>
      </c>
      <c r="G739" t="s">
        <v>1763</v>
      </c>
      <c r="H739" t="s">
        <v>1770</v>
      </c>
      <c r="I739" t="s">
        <v>1774</v>
      </c>
      <c r="J739" t="s">
        <v>1779</v>
      </c>
      <c r="K739">
        <v>12</v>
      </c>
      <c r="L739" s="2">
        <v>702</v>
      </c>
      <c r="M739">
        <v>0.2</v>
      </c>
      <c r="N739" s="2">
        <v>408.73</v>
      </c>
      <c r="O739" s="2">
        <v>6739.2</v>
      </c>
      <c r="P739" s="2">
        <v>4904.76</v>
      </c>
      <c r="Q739" s="2">
        <v>1834.44</v>
      </c>
      <c r="R739">
        <v>1</v>
      </c>
      <c r="S739" s="2" t="str">
        <f>TEXT(data[[#This Row],[Date]],"mmm yyyy")</f>
        <v>Jan 2025</v>
      </c>
      <c r="T739" s="8">
        <f>data[[#This Row],[Profit]]/data[[#This Row],[Revenue]]</f>
        <v>0.27220441595441597</v>
      </c>
    </row>
    <row r="740" spans="1:20" x14ac:dyDescent="0.3">
      <c r="A740">
        <v>10738</v>
      </c>
      <c r="B740" t="s">
        <v>27</v>
      </c>
      <c r="C740" t="s">
        <v>607</v>
      </c>
      <c r="D740" t="s">
        <v>617</v>
      </c>
      <c r="E740" t="s">
        <v>628</v>
      </c>
      <c r="F740" t="s">
        <v>1342</v>
      </c>
      <c r="G740" t="s">
        <v>1766</v>
      </c>
      <c r="H740" t="s">
        <v>1770</v>
      </c>
      <c r="I740" t="s">
        <v>1774</v>
      </c>
      <c r="J740" t="s">
        <v>1777</v>
      </c>
      <c r="K740">
        <v>16</v>
      </c>
      <c r="L740" s="2">
        <v>554</v>
      </c>
      <c r="M740">
        <v>0.05</v>
      </c>
      <c r="N740" s="2">
        <v>395.42</v>
      </c>
      <c r="O740" s="2">
        <v>8420.7999999999993</v>
      </c>
      <c r="P740" s="2">
        <v>6326.72</v>
      </c>
      <c r="Q740" s="2">
        <v>2094.08</v>
      </c>
      <c r="R740">
        <v>1</v>
      </c>
      <c r="S740" s="2" t="str">
        <f>TEXT(data[[#This Row],[Date]],"mmm yyyy")</f>
        <v>Sep 2024</v>
      </c>
      <c r="T740" s="8">
        <f>data[[#This Row],[Profit]]/data[[#This Row],[Revenue]]</f>
        <v>0.24867946038381153</v>
      </c>
    </row>
    <row r="741" spans="1:20" x14ac:dyDescent="0.3">
      <c r="A741">
        <v>10739</v>
      </c>
      <c r="B741" t="s">
        <v>145</v>
      </c>
      <c r="C741" t="s">
        <v>607</v>
      </c>
      <c r="D741" t="s">
        <v>621</v>
      </c>
      <c r="E741" t="s">
        <v>626</v>
      </c>
      <c r="F741" t="s">
        <v>1343</v>
      </c>
      <c r="G741" t="s">
        <v>1764</v>
      </c>
      <c r="H741" t="s">
        <v>1768</v>
      </c>
      <c r="I741" t="s">
        <v>1775</v>
      </c>
      <c r="J741" t="s">
        <v>1776</v>
      </c>
      <c r="K741">
        <v>17</v>
      </c>
      <c r="L741" s="2">
        <v>1150</v>
      </c>
      <c r="M741">
        <v>0.1</v>
      </c>
      <c r="N741" s="2">
        <v>677.14</v>
      </c>
      <c r="O741" s="2">
        <v>17595</v>
      </c>
      <c r="P741" s="2">
        <v>11511.38</v>
      </c>
      <c r="Q741" s="2">
        <v>6083.62</v>
      </c>
      <c r="R741">
        <v>0</v>
      </c>
      <c r="S741" s="2" t="str">
        <f>TEXT(data[[#This Row],[Date]],"mmm yyyy")</f>
        <v>Jun 2024</v>
      </c>
      <c r="T741" s="8">
        <f>data[[#This Row],[Profit]]/data[[#This Row],[Revenue]]</f>
        <v>0.3457584541062802</v>
      </c>
    </row>
    <row r="742" spans="1:20" x14ac:dyDescent="0.3">
      <c r="A742">
        <v>10740</v>
      </c>
      <c r="B742" t="s">
        <v>291</v>
      </c>
      <c r="C742" t="s">
        <v>606</v>
      </c>
      <c r="D742" t="s">
        <v>620</v>
      </c>
      <c r="E742" t="s">
        <v>627</v>
      </c>
      <c r="F742" t="s">
        <v>1344</v>
      </c>
      <c r="G742" t="s">
        <v>1764</v>
      </c>
      <c r="H742" t="s">
        <v>1770</v>
      </c>
      <c r="I742" t="s">
        <v>1775</v>
      </c>
      <c r="J742" t="s">
        <v>1779</v>
      </c>
      <c r="K742">
        <v>16</v>
      </c>
      <c r="L742" s="2">
        <v>747</v>
      </c>
      <c r="M742">
        <v>0</v>
      </c>
      <c r="N742" s="2">
        <v>402.54</v>
      </c>
      <c r="O742" s="2">
        <v>11952</v>
      </c>
      <c r="P742" s="2">
        <v>6440.64</v>
      </c>
      <c r="Q742" s="2">
        <v>5511.36</v>
      </c>
      <c r="R742">
        <v>1</v>
      </c>
      <c r="S742" s="2" t="str">
        <f>TEXT(data[[#This Row],[Date]],"mmm yyyy")</f>
        <v>Jul 2025</v>
      </c>
      <c r="T742" s="8">
        <f>data[[#This Row],[Profit]]/data[[#This Row],[Revenue]]</f>
        <v>0.46112449799196786</v>
      </c>
    </row>
    <row r="743" spans="1:20" x14ac:dyDescent="0.3">
      <c r="A743">
        <v>10741</v>
      </c>
      <c r="B743" t="s">
        <v>489</v>
      </c>
      <c r="C743" t="s">
        <v>607</v>
      </c>
      <c r="D743" t="s">
        <v>611</v>
      </c>
      <c r="E743" t="s">
        <v>626</v>
      </c>
      <c r="F743" t="s">
        <v>1345</v>
      </c>
      <c r="G743" t="s">
        <v>1766</v>
      </c>
      <c r="H743" t="s">
        <v>1772</v>
      </c>
      <c r="I743" t="s">
        <v>1775</v>
      </c>
      <c r="J743" t="s">
        <v>1776</v>
      </c>
      <c r="K743">
        <v>7</v>
      </c>
      <c r="L743" s="2">
        <v>1098</v>
      </c>
      <c r="M743">
        <v>0.15</v>
      </c>
      <c r="N743" s="2">
        <v>735.9</v>
      </c>
      <c r="O743" s="2">
        <v>6533.1</v>
      </c>
      <c r="P743" s="2">
        <v>5151.3</v>
      </c>
      <c r="Q743" s="2">
        <v>1381.8</v>
      </c>
      <c r="R743">
        <v>1</v>
      </c>
      <c r="S743" s="2" t="str">
        <f>TEXT(data[[#This Row],[Date]],"mmm yyyy")</f>
        <v>Jan 2024</v>
      </c>
      <c r="T743" s="8">
        <f>data[[#This Row],[Profit]]/data[[#This Row],[Revenue]]</f>
        <v>0.21150755384120859</v>
      </c>
    </row>
    <row r="744" spans="1:20" x14ac:dyDescent="0.3">
      <c r="A744">
        <v>10742</v>
      </c>
      <c r="B744" t="s">
        <v>81</v>
      </c>
      <c r="C744" t="s">
        <v>606</v>
      </c>
      <c r="D744" t="s">
        <v>620</v>
      </c>
      <c r="E744" t="s">
        <v>626</v>
      </c>
      <c r="F744" t="s">
        <v>1346</v>
      </c>
      <c r="G744" t="s">
        <v>1765</v>
      </c>
      <c r="H744" t="s">
        <v>1769</v>
      </c>
      <c r="I744" t="s">
        <v>1774</v>
      </c>
      <c r="J744" t="s">
        <v>1777</v>
      </c>
      <c r="K744">
        <v>12</v>
      </c>
      <c r="L744" s="2">
        <v>259</v>
      </c>
      <c r="M744">
        <v>0.15</v>
      </c>
      <c r="N744" s="2">
        <v>176.04</v>
      </c>
      <c r="O744" s="2">
        <v>2641.8</v>
      </c>
      <c r="P744" s="2">
        <v>2112.48</v>
      </c>
      <c r="Q744" s="2">
        <v>529.32000000000005</v>
      </c>
      <c r="R744">
        <v>1</v>
      </c>
      <c r="S744" s="2" t="str">
        <f>TEXT(data[[#This Row],[Date]],"mmm yyyy")</f>
        <v>Mar 2025</v>
      </c>
      <c r="T744" s="8">
        <f>data[[#This Row],[Profit]]/data[[#This Row],[Revenue]]</f>
        <v>0.20036338859868272</v>
      </c>
    </row>
    <row r="745" spans="1:20" x14ac:dyDescent="0.3">
      <c r="A745">
        <v>10743</v>
      </c>
      <c r="B745" t="s">
        <v>54</v>
      </c>
      <c r="C745" t="s">
        <v>607</v>
      </c>
      <c r="D745" t="s">
        <v>611</v>
      </c>
      <c r="E745" t="s">
        <v>627</v>
      </c>
      <c r="F745" t="s">
        <v>1347</v>
      </c>
      <c r="G745" t="s">
        <v>1759</v>
      </c>
      <c r="H745" t="s">
        <v>1769</v>
      </c>
      <c r="I745" t="s">
        <v>1773</v>
      </c>
      <c r="J745" t="s">
        <v>1779</v>
      </c>
      <c r="K745">
        <v>16</v>
      </c>
      <c r="L745" s="2">
        <v>336</v>
      </c>
      <c r="M745">
        <v>0.15</v>
      </c>
      <c r="N745" s="2">
        <v>204.03</v>
      </c>
      <c r="O745" s="2">
        <v>4569.6000000000004</v>
      </c>
      <c r="P745" s="2">
        <v>3264.48</v>
      </c>
      <c r="Q745" s="2">
        <v>1305.1199999999999</v>
      </c>
      <c r="R745">
        <v>1</v>
      </c>
      <c r="S745" s="2" t="str">
        <f>TEXT(data[[#This Row],[Date]],"mmm yyyy")</f>
        <v>Oct 2025</v>
      </c>
      <c r="T745" s="8">
        <f>data[[#This Row],[Profit]]/data[[#This Row],[Revenue]]</f>
        <v>0.28560924369747892</v>
      </c>
    </row>
    <row r="746" spans="1:20" x14ac:dyDescent="0.3">
      <c r="A746">
        <v>10744</v>
      </c>
      <c r="B746" t="s">
        <v>21</v>
      </c>
      <c r="C746" t="s">
        <v>606</v>
      </c>
      <c r="D746" t="s">
        <v>625</v>
      </c>
      <c r="E746" t="s">
        <v>626</v>
      </c>
      <c r="F746" t="s">
        <v>1348</v>
      </c>
      <c r="G746" t="s">
        <v>1759</v>
      </c>
      <c r="H746" t="s">
        <v>1769</v>
      </c>
      <c r="I746" t="s">
        <v>1773</v>
      </c>
      <c r="J746" t="s">
        <v>1778</v>
      </c>
      <c r="K746">
        <v>7</v>
      </c>
      <c r="L746" s="2">
        <v>497</v>
      </c>
      <c r="M746">
        <v>0.1</v>
      </c>
      <c r="N746" s="2">
        <v>352.51</v>
      </c>
      <c r="O746" s="2">
        <v>3131.1</v>
      </c>
      <c r="P746" s="2">
        <v>2467.5700000000002</v>
      </c>
      <c r="Q746" s="2">
        <v>663.53</v>
      </c>
      <c r="R746">
        <v>1</v>
      </c>
      <c r="S746" s="2" t="str">
        <f>TEXT(data[[#This Row],[Date]],"mmm yyyy")</f>
        <v>Aug 2025</v>
      </c>
      <c r="T746" s="8">
        <f>data[[#This Row],[Profit]]/data[[#This Row],[Revenue]]</f>
        <v>0.21191594008495418</v>
      </c>
    </row>
    <row r="747" spans="1:20" x14ac:dyDescent="0.3">
      <c r="A747">
        <v>10745</v>
      </c>
      <c r="B747" t="s">
        <v>490</v>
      </c>
      <c r="C747" t="s">
        <v>609</v>
      </c>
      <c r="D747" t="s">
        <v>622</v>
      </c>
      <c r="E747" t="s">
        <v>627</v>
      </c>
      <c r="F747" t="s">
        <v>1349</v>
      </c>
      <c r="G747" t="s">
        <v>1763</v>
      </c>
      <c r="H747" t="s">
        <v>1770</v>
      </c>
      <c r="I747" t="s">
        <v>1775</v>
      </c>
      <c r="J747" t="s">
        <v>1778</v>
      </c>
      <c r="K747">
        <v>13</v>
      </c>
      <c r="L747" s="2">
        <v>628</v>
      </c>
      <c r="M747">
        <v>0.15</v>
      </c>
      <c r="N747" s="2">
        <v>469</v>
      </c>
      <c r="O747" s="2">
        <v>6939.4</v>
      </c>
      <c r="P747" s="2">
        <v>6097</v>
      </c>
      <c r="Q747" s="2">
        <v>842.4</v>
      </c>
      <c r="R747">
        <v>1</v>
      </c>
      <c r="S747" s="2" t="str">
        <f>TEXT(data[[#This Row],[Date]],"mmm yyyy")</f>
        <v>Apr 2025</v>
      </c>
      <c r="T747" s="8">
        <f>data[[#This Row],[Profit]]/data[[#This Row],[Revenue]]</f>
        <v>0.12139378044211316</v>
      </c>
    </row>
    <row r="748" spans="1:20" x14ac:dyDescent="0.3">
      <c r="A748">
        <v>10746</v>
      </c>
      <c r="B748" t="s">
        <v>476</v>
      </c>
      <c r="C748" t="s">
        <v>606</v>
      </c>
      <c r="D748" t="s">
        <v>610</v>
      </c>
      <c r="E748" t="s">
        <v>628</v>
      </c>
      <c r="F748" t="s">
        <v>1350</v>
      </c>
      <c r="G748" t="s">
        <v>1759</v>
      </c>
      <c r="H748" t="s">
        <v>1767</v>
      </c>
      <c r="I748" t="s">
        <v>1775</v>
      </c>
      <c r="J748" t="s">
        <v>1776</v>
      </c>
      <c r="K748">
        <v>2</v>
      </c>
      <c r="L748" s="2">
        <v>132</v>
      </c>
      <c r="M748">
        <v>0.05</v>
      </c>
      <c r="N748" s="2">
        <v>98.65</v>
      </c>
      <c r="O748" s="2">
        <v>250.8</v>
      </c>
      <c r="P748" s="2">
        <v>197.3</v>
      </c>
      <c r="Q748" s="2">
        <v>53.5</v>
      </c>
      <c r="R748">
        <v>0</v>
      </c>
      <c r="S748" s="2" t="str">
        <f>TEXT(data[[#This Row],[Date]],"mmm yyyy")</f>
        <v>May 2024</v>
      </c>
      <c r="T748" s="8">
        <f>data[[#This Row],[Profit]]/data[[#This Row],[Revenue]]</f>
        <v>0.21331738437001593</v>
      </c>
    </row>
    <row r="749" spans="1:20" x14ac:dyDescent="0.3">
      <c r="A749">
        <v>10747</v>
      </c>
      <c r="B749" t="s">
        <v>460</v>
      </c>
      <c r="C749" t="s">
        <v>607</v>
      </c>
      <c r="D749" t="s">
        <v>621</v>
      </c>
      <c r="E749" t="s">
        <v>629</v>
      </c>
      <c r="F749" t="s">
        <v>1351</v>
      </c>
      <c r="G749" t="s">
        <v>1759</v>
      </c>
      <c r="H749" t="s">
        <v>1768</v>
      </c>
      <c r="I749" t="s">
        <v>1774</v>
      </c>
      <c r="J749" t="s">
        <v>1779</v>
      </c>
      <c r="K749">
        <v>19</v>
      </c>
      <c r="L749" s="2">
        <v>1165</v>
      </c>
      <c r="M749">
        <v>0.1</v>
      </c>
      <c r="N749" s="2">
        <v>636.28</v>
      </c>
      <c r="O749" s="2">
        <v>19921.5</v>
      </c>
      <c r="P749" s="2">
        <v>12089.32</v>
      </c>
      <c r="Q749" s="2">
        <v>7832.18</v>
      </c>
      <c r="R749">
        <v>0</v>
      </c>
      <c r="S749" s="2" t="str">
        <f>TEXT(data[[#This Row],[Date]],"mmm yyyy")</f>
        <v>Nov 2024</v>
      </c>
      <c r="T749" s="8">
        <f>data[[#This Row],[Profit]]/data[[#This Row],[Revenue]]</f>
        <v>0.39315212207916073</v>
      </c>
    </row>
    <row r="750" spans="1:20" x14ac:dyDescent="0.3">
      <c r="A750">
        <v>10748</v>
      </c>
      <c r="B750" t="s">
        <v>79</v>
      </c>
      <c r="C750" t="s">
        <v>608</v>
      </c>
      <c r="D750" t="s">
        <v>614</v>
      </c>
      <c r="E750" t="s">
        <v>628</v>
      </c>
      <c r="F750" t="s">
        <v>1352</v>
      </c>
      <c r="G750" t="s">
        <v>1766</v>
      </c>
      <c r="H750" t="s">
        <v>1769</v>
      </c>
      <c r="I750" t="s">
        <v>1773</v>
      </c>
      <c r="J750" t="s">
        <v>1779</v>
      </c>
      <c r="K750">
        <v>18</v>
      </c>
      <c r="L750" s="2">
        <v>189</v>
      </c>
      <c r="M750">
        <v>0.2</v>
      </c>
      <c r="N750" s="2">
        <v>114.09</v>
      </c>
      <c r="O750" s="2">
        <v>2721.6</v>
      </c>
      <c r="P750" s="2">
        <v>2053.62</v>
      </c>
      <c r="Q750" s="2">
        <v>667.98</v>
      </c>
      <c r="R750">
        <v>1</v>
      </c>
      <c r="S750" s="2" t="str">
        <f>TEXT(data[[#This Row],[Date]],"mmm yyyy")</f>
        <v>Jan 2024</v>
      </c>
      <c r="T750" s="8">
        <f>data[[#This Row],[Profit]]/data[[#This Row],[Revenue]]</f>
        <v>0.24543650793650795</v>
      </c>
    </row>
    <row r="751" spans="1:20" x14ac:dyDescent="0.3">
      <c r="A751">
        <v>10749</v>
      </c>
      <c r="B751" t="s">
        <v>125</v>
      </c>
      <c r="C751" t="s">
        <v>608</v>
      </c>
      <c r="D751" t="s">
        <v>614</v>
      </c>
      <c r="E751" t="s">
        <v>627</v>
      </c>
      <c r="F751" t="s">
        <v>1353</v>
      </c>
      <c r="G751" t="s">
        <v>1759</v>
      </c>
      <c r="H751" t="s">
        <v>1769</v>
      </c>
      <c r="I751" t="s">
        <v>1775</v>
      </c>
      <c r="J751" t="s">
        <v>1776</v>
      </c>
      <c r="K751">
        <v>14</v>
      </c>
      <c r="L751" s="2">
        <v>231</v>
      </c>
      <c r="M751">
        <v>0.2</v>
      </c>
      <c r="N751" s="2">
        <v>161.03</v>
      </c>
      <c r="O751" s="2">
        <v>2587.1999999999998</v>
      </c>
      <c r="P751" s="2">
        <v>2254.42</v>
      </c>
      <c r="Q751" s="2">
        <v>332.78</v>
      </c>
      <c r="R751">
        <v>0</v>
      </c>
      <c r="S751" s="2" t="str">
        <f>TEXT(data[[#This Row],[Date]],"mmm yyyy")</f>
        <v>May 2025</v>
      </c>
      <c r="T751" s="8">
        <f>data[[#This Row],[Profit]]/data[[#This Row],[Revenue]]</f>
        <v>0.12862554112554112</v>
      </c>
    </row>
    <row r="752" spans="1:20" x14ac:dyDescent="0.3">
      <c r="A752">
        <v>10750</v>
      </c>
      <c r="B752" t="s">
        <v>491</v>
      </c>
      <c r="C752" t="s">
        <v>609</v>
      </c>
      <c r="D752" t="s">
        <v>622</v>
      </c>
      <c r="E752" t="s">
        <v>629</v>
      </c>
      <c r="F752" t="s">
        <v>1354</v>
      </c>
      <c r="G752" t="s">
        <v>1766</v>
      </c>
      <c r="H752" t="s">
        <v>1772</v>
      </c>
      <c r="I752" t="s">
        <v>1773</v>
      </c>
      <c r="J752" t="s">
        <v>1778</v>
      </c>
      <c r="K752">
        <v>11</v>
      </c>
      <c r="L752" s="2">
        <v>774</v>
      </c>
      <c r="M752">
        <v>0.2</v>
      </c>
      <c r="N752" s="2">
        <v>554.48</v>
      </c>
      <c r="O752" s="2">
        <v>6811.2</v>
      </c>
      <c r="P752" s="2">
        <v>6099.28</v>
      </c>
      <c r="Q752" s="2">
        <v>711.92</v>
      </c>
      <c r="R752">
        <v>0</v>
      </c>
      <c r="S752" s="2" t="str">
        <f>TEXT(data[[#This Row],[Date]],"mmm yyyy")</f>
        <v>Apr 2025</v>
      </c>
      <c r="T752" s="8">
        <f>data[[#This Row],[Profit]]/data[[#This Row],[Revenue]]</f>
        <v>0.1045219638242894</v>
      </c>
    </row>
    <row r="753" spans="1:20" x14ac:dyDescent="0.3">
      <c r="A753">
        <v>10751</v>
      </c>
      <c r="B753" t="s">
        <v>270</v>
      </c>
      <c r="C753" t="s">
        <v>606</v>
      </c>
      <c r="D753" t="s">
        <v>610</v>
      </c>
      <c r="E753" t="s">
        <v>626</v>
      </c>
      <c r="F753" t="s">
        <v>1355</v>
      </c>
      <c r="G753" t="s">
        <v>1766</v>
      </c>
      <c r="H753" t="s">
        <v>1772</v>
      </c>
      <c r="I753" t="s">
        <v>1773</v>
      </c>
      <c r="J753" t="s">
        <v>1778</v>
      </c>
      <c r="K753">
        <v>14</v>
      </c>
      <c r="L753" s="2">
        <v>544</v>
      </c>
      <c r="M753">
        <v>0.2</v>
      </c>
      <c r="N753" s="2">
        <v>339.74</v>
      </c>
      <c r="O753" s="2">
        <v>6092.8</v>
      </c>
      <c r="P753" s="2">
        <v>4756.3599999999997</v>
      </c>
      <c r="Q753" s="2">
        <v>1336.44</v>
      </c>
      <c r="R753">
        <v>0</v>
      </c>
      <c r="S753" s="2" t="str">
        <f>TEXT(data[[#This Row],[Date]],"mmm yyyy")</f>
        <v>May 2024</v>
      </c>
      <c r="T753" s="8">
        <f>data[[#This Row],[Profit]]/data[[#This Row],[Revenue]]</f>
        <v>0.21934742647058825</v>
      </c>
    </row>
    <row r="754" spans="1:20" x14ac:dyDescent="0.3">
      <c r="A754">
        <v>10752</v>
      </c>
      <c r="B754" t="s">
        <v>147</v>
      </c>
      <c r="C754" t="s">
        <v>608</v>
      </c>
      <c r="D754" t="s">
        <v>614</v>
      </c>
      <c r="E754" t="s">
        <v>628</v>
      </c>
      <c r="F754" t="s">
        <v>1288</v>
      </c>
      <c r="G754" t="s">
        <v>1764</v>
      </c>
      <c r="H754" t="s">
        <v>1771</v>
      </c>
      <c r="I754" t="s">
        <v>1775</v>
      </c>
      <c r="J754" t="s">
        <v>1778</v>
      </c>
      <c r="K754">
        <v>14</v>
      </c>
      <c r="L754" s="2">
        <v>506</v>
      </c>
      <c r="M754">
        <v>0</v>
      </c>
      <c r="N754" s="2">
        <v>370.92</v>
      </c>
      <c r="O754" s="2">
        <v>7084</v>
      </c>
      <c r="P754" s="2">
        <v>5192.88</v>
      </c>
      <c r="Q754" s="2">
        <v>1891.12</v>
      </c>
      <c r="R754">
        <v>0</v>
      </c>
      <c r="S754" s="2" t="str">
        <f>TEXT(data[[#This Row],[Date]],"mmm yyyy")</f>
        <v>Feb 2024</v>
      </c>
      <c r="T754" s="8">
        <f>data[[#This Row],[Profit]]/data[[#This Row],[Revenue]]</f>
        <v>0.26695652173913043</v>
      </c>
    </row>
    <row r="755" spans="1:20" x14ac:dyDescent="0.3">
      <c r="A755">
        <v>10753</v>
      </c>
      <c r="B755" t="s">
        <v>492</v>
      </c>
      <c r="C755" t="s">
        <v>607</v>
      </c>
      <c r="D755" t="s">
        <v>617</v>
      </c>
      <c r="E755" t="s">
        <v>627</v>
      </c>
      <c r="F755" t="s">
        <v>1356</v>
      </c>
      <c r="G755" t="s">
        <v>1759</v>
      </c>
      <c r="H755" t="s">
        <v>1772</v>
      </c>
      <c r="I755" t="s">
        <v>1775</v>
      </c>
      <c r="J755" t="s">
        <v>1776</v>
      </c>
      <c r="K755">
        <v>14</v>
      </c>
      <c r="L755" s="2">
        <v>844</v>
      </c>
      <c r="M755">
        <v>0.15</v>
      </c>
      <c r="N755" s="2">
        <v>612.20000000000005</v>
      </c>
      <c r="O755" s="2">
        <v>10043.6</v>
      </c>
      <c r="P755" s="2">
        <v>8570.7999999999993</v>
      </c>
      <c r="Q755" s="2">
        <v>1472.8</v>
      </c>
      <c r="R755">
        <v>0</v>
      </c>
      <c r="S755" s="2" t="str">
        <f>TEXT(data[[#This Row],[Date]],"mmm yyyy")</f>
        <v>Dec 2024</v>
      </c>
      <c r="T755" s="8">
        <f>data[[#This Row],[Profit]]/data[[#This Row],[Revenue]]</f>
        <v>0.14664064678003902</v>
      </c>
    </row>
    <row r="756" spans="1:20" x14ac:dyDescent="0.3">
      <c r="A756">
        <v>10754</v>
      </c>
      <c r="B756" t="s">
        <v>477</v>
      </c>
      <c r="C756" t="s">
        <v>608</v>
      </c>
      <c r="D756" t="s">
        <v>614</v>
      </c>
      <c r="E756" t="s">
        <v>627</v>
      </c>
      <c r="F756" t="s">
        <v>818</v>
      </c>
      <c r="G756" t="s">
        <v>1766</v>
      </c>
      <c r="H756" t="s">
        <v>1769</v>
      </c>
      <c r="I756" t="s">
        <v>1775</v>
      </c>
      <c r="J756" t="s">
        <v>1779</v>
      </c>
      <c r="K756">
        <v>7</v>
      </c>
      <c r="L756" s="2">
        <v>399</v>
      </c>
      <c r="M756">
        <v>0.05</v>
      </c>
      <c r="N756" s="2">
        <v>263.98</v>
      </c>
      <c r="O756" s="2">
        <v>2653.35</v>
      </c>
      <c r="P756" s="2">
        <v>1847.86</v>
      </c>
      <c r="Q756" s="2">
        <v>805.49</v>
      </c>
      <c r="R756">
        <v>0</v>
      </c>
      <c r="S756" s="2" t="str">
        <f>TEXT(data[[#This Row],[Date]],"mmm yyyy")</f>
        <v>May 2025</v>
      </c>
      <c r="T756" s="8">
        <f>data[[#This Row],[Profit]]/data[[#This Row],[Revenue]]</f>
        <v>0.30357472628940774</v>
      </c>
    </row>
    <row r="757" spans="1:20" x14ac:dyDescent="0.3">
      <c r="A757">
        <v>10755</v>
      </c>
      <c r="B757" t="s">
        <v>430</v>
      </c>
      <c r="C757" t="s">
        <v>607</v>
      </c>
      <c r="D757" t="s">
        <v>621</v>
      </c>
      <c r="E757" t="s">
        <v>629</v>
      </c>
      <c r="F757" t="s">
        <v>1357</v>
      </c>
      <c r="G757" t="s">
        <v>1764</v>
      </c>
      <c r="H757" t="s">
        <v>1770</v>
      </c>
      <c r="I757" t="s">
        <v>1774</v>
      </c>
      <c r="J757" t="s">
        <v>1776</v>
      </c>
      <c r="K757">
        <v>16</v>
      </c>
      <c r="L757" s="2">
        <v>871</v>
      </c>
      <c r="M757">
        <v>0</v>
      </c>
      <c r="N757" s="2">
        <v>605.49</v>
      </c>
      <c r="O757" s="2">
        <v>13936</v>
      </c>
      <c r="P757" s="2">
        <v>9687.84</v>
      </c>
      <c r="Q757" s="2">
        <v>4248.16</v>
      </c>
      <c r="R757">
        <v>0</v>
      </c>
      <c r="S757" s="2" t="str">
        <f>TEXT(data[[#This Row],[Date]],"mmm yyyy")</f>
        <v>Dec 2025</v>
      </c>
      <c r="T757" s="8">
        <f>data[[#This Row],[Profit]]/data[[#This Row],[Revenue]]</f>
        <v>0.30483352468427094</v>
      </c>
    </row>
    <row r="758" spans="1:20" x14ac:dyDescent="0.3">
      <c r="A758">
        <v>10756</v>
      </c>
      <c r="B758" t="s">
        <v>219</v>
      </c>
      <c r="C758" t="s">
        <v>608</v>
      </c>
      <c r="D758" t="s">
        <v>615</v>
      </c>
      <c r="E758" t="s">
        <v>628</v>
      </c>
      <c r="F758" t="s">
        <v>1358</v>
      </c>
      <c r="G758" t="s">
        <v>1761</v>
      </c>
      <c r="H758" t="s">
        <v>1770</v>
      </c>
      <c r="I758" t="s">
        <v>1774</v>
      </c>
      <c r="J758" t="s">
        <v>1776</v>
      </c>
      <c r="K758">
        <v>9</v>
      </c>
      <c r="L758" s="2">
        <v>910</v>
      </c>
      <c r="M758">
        <v>0.15</v>
      </c>
      <c r="N758" s="2">
        <v>512.08000000000004</v>
      </c>
      <c r="O758" s="2">
        <v>6961.5</v>
      </c>
      <c r="P758" s="2">
        <v>4608.72</v>
      </c>
      <c r="Q758" s="2">
        <v>2352.7800000000002</v>
      </c>
      <c r="R758">
        <v>0</v>
      </c>
      <c r="S758" s="2" t="str">
        <f>TEXT(data[[#This Row],[Date]],"mmm yyyy")</f>
        <v>Sep 2024</v>
      </c>
      <c r="T758" s="8">
        <f>data[[#This Row],[Profit]]/data[[#This Row],[Revenue]]</f>
        <v>0.33797026502908861</v>
      </c>
    </row>
    <row r="759" spans="1:20" x14ac:dyDescent="0.3">
      <c r="A759">
        <v>10757</v>
      </c>
      <c r="B759" t="s">
        <v>493</v>
      </c>
      <c r="C759" t="s">
        <v>609</v>
      </c>
      <c r="D759" t="s">
        <v>622</v>
      </c>
      <c r="E759" t="s">
        <v>629</v>
      </c>
      <c r="F759" t="s">
        <v>1359</v>
      </c>
      <c r="G759" t="s">
        <v>1761</v>
      </c>
      <c r="H759" t="s">
        <v>1770</v>
      </c>
      <c r="I759" t="s">
        <v>1775</v>
      </c>
      <c r="J759" t="s">
        <v>1776</v>
      </c>
      <c r="K759">
        <v>15</v>
      </c>
      <c r="L759" s="2">
        <v>881</v>
      </c>
      <c r="M759">
        <v>0.15</v>
      </c>
      <c r="N759" s="2">
        <v>657.02</v>
      </c>
      <c r="O759" s="2">
        <v>11232.75</v>
      </c>
      <c r="P759" s="2">
        <v>9855.2999999999993</v>
      </c>
      <c r="Q759" s="2">
        <v>1377.45</v>
      </c>
      <c r="R759">
        <v>0</v>
      </c>
      <c r="S759" s="2" t="str">
        <f>TEXT(data[[#This Row],[Date]],"mmm yyyy")</f>
        <v>Sep 2025</v>
      </c>
      <c r="T759" s="8">
        <f>data[[#This Row],[Profit]]/data[[#This Row],[Revenue]]</f>
        <v>0.12262802964545637</v>
      </c>
    </row>
    <row r="760" spans="1:20" x14ac:dyDescent="0.3">
      <c r="A760">
        <v>10758</v>
      </c>
      <c r="B760" t="s">
        <v>494</v>
      </c>
      <c r="C760" t="s">
        <v>606</v>
      </c>
      <c r="D760" t="s">
        <v>616</v>
      </c>
      <c r="E760" t="s">
        <v>628</v>
      </c>
      <c r="F760" t="s">
        <v>1360</v>
      </c>
      <c r="G760" t="s">
        <v>1761</v>
      </c>
      <c r="H760" t="s">
        <v>1769</v>
      </c>
      <c r="I760" t="s">
        <v>1773</v>
      </c>
      <c r="J760" t="s">
        <v>1776</v>
      </c>
      <c r="K760">
        <v>18</v>
      </c>
      <c r="L760" s="2">
        <v>176</v>
      </c>
      <c r="M760">
        <v>0.2</v>
      </c>
      <c r="N760" s="2">
        <v>125.47</v>
      </c>
      <c r="O760" s="2">
        <v>2534.4</v>
      </c>
      <c r="P760" s="2">
        <v>2258.46</v>
      </c>
      <c r="Q760" s="2">
        <v>275.94</v>
      </c>
      <c r="R760">
        <v>0</v>
      </c>
      <c r="S760" s="2" t="str">
        <f>TEXT(data[[#This Row],[Date]],"mmm yyyy")</f>
        <v>Jul 2024</v>
      </c>
      <c r="T760" s="8">
        <f>data[[#This Row],[Profit]]/data[[#This Row],[Revenue]]</f>
        <v>0.1088778409090909</v>
      </c>
    </row>
    <row r="761" spans="1:20" x14ac:dyDescent="0.3">
      <c r="A761">
        <v>10759</v>
      </c>
      <c r="B761" t="s">
        <v>495</v>
      </c>
      <c r="C761" t="s">
        <v>608</v>
      </c>
      <c r="D761" t="s">
        <v>614</v>
      </c>
      <c r="E761" t="s">
        <v>627</v>
      </c>
      <c r="F761" t="s">
        <v>1361</v>
      </c>
      <c r="G761" t="s">
        <v>1766</v>
      </c>
      <c r="H761" t="s">
        <v>1768</v>
      </c>
      <c r="I761" t="s">
        <v>1775</v>
      </c>
      <c r="J761" t="s">
        <v>1778</v>
      </c>
      <c r="K761">
        <v>6</v>
      </c>
      <c r="L761" s="2">
        <v>1141</v>
      </c>
      <c r="M761">
        <v>0.15</v>
      </c>
      <c r="N761" s="2">
        <v>633.11</v>
      </c>
      <c r="O761" s="2">
        <v>5819.1</v>
      </c>
      <c r="P761" s="2">
        <v>3798.66</v>
      </c>
      <c r="Q761" s="2">
        <v>2020.44</v>
      </c>
      <c r="R761">
        <v>0</v>
      </c>
      <c r="S761" s="2" t="str">
        <f>TEXT(data[[#This Row],[Date]],"mmm yyyy")</f>
        <v>Apr 2024</v>
      </c>
      <c r="T761" s="8">
        <f>data[[#This Row],[Profit]]/data[[#This Row],[Revenue]]</f>
        <v>0.34720833118523481</v>
      </c>
    </row>
    <row r="762" spans="1:20" x14ac:dyDescent="0.3">
      <c r="A762">
        <v>10760</v>
      </c>
      <c r="B762" t="s">
        <v>35</v>
      </c>
      <c r="C762" t="s">
        <v>607</v>
      </c>
      <c r="D762" t="s">
        <v>624</v>
      </c>
      <c r="E762" t="s">
        <v>628</v>
      </c>
      <c r="F762" t="s">
        <v>1362</v>
      </c>
      <c r="G762" t="s">
        <v>1764</v>
      </c>
      <c r="H762" t="s">
        <v>1769</v>
      </c>
      <c r="I762" t="s">
        <v>1773</v>
      </c>
      <c r="J762" t="s">
        <v>1776</v>
      </c>
      <c r="K762">
        <v>12</v>
      </c>
      <c r="L762" s="2">
        <v>279</v>
      </c>
      <c r="M762">
        <v>0</v>
      </c>
      <c r="N762" s="2">
        <v>196.82</v>
      </c>
      <c r="O762" s="2">
        <v>3348</v>
      </c>
      <c r="P762" s="2">
        <v>2361.84</v>
      </c>
      <c r="Q762" s="2">
        <v>986.16</v>
      </c>
      <c r="R762">
        <v>0</v>
      </c>
      <c r="S762" s="2" t="str">
        <f>TEXT(data[[#This Row],[Date]],"mmm yyyy")</f>
        <v>Jun 2024</v>
      </c>
      <c r="T762" s="8">
        <f>data[[#This Row],[Profit]]/data[[#This Row],[Revenue]]</f>
        <v>0.29455197132616484</v>
      </c>
    </row>
    <row r="763" spans="1:20" x14ac:dyDescent="0.3">
      <c r="A763">
        <v>10761</v>
      </c>
      <c r="B763" t="s">
        <v>496</v>
      </c>
      <c r="C763" t="s">
        <v>606</v>
      </c>
      <c r="D763" t="s">
        <v>620</v>
      </c>
      <c r="E763" t="s">
        <v>628</v>
      </c>
      <c r="F763" t="s">
        <v>1363</v>
      </c>
      <c r="G763" t="s">
        <v>1764</v>
      </c>
      <c r="H763" t="s">
        <v>1768</v>
      </c>
      <c r="I763" t="s">
        <v>1773</v>
      </c>
      <c r="J763" t="s">
        <v>1779</v>
      </c>
      <c r="K763">
        <v>16</v>
      </c>
      <c r="L763" s="2">
        <v>943</v>
      </c>
      <c r="M763">
        <v>0.05</v>
      </c>
      <c r="N763" s="2">
        <v>612.97</v>
      </c>
      <c r="O763" s="2">
        <v>14333.6</v>
      </c>
      <c r="P763" s="2">
        <v>9807.52</v>
      </c>
      <c r="Q763" s="2">
        <v>4526.08</v>
      </c>
      <c r="R763">
        <v>0</v>
      </c>
      <c r="S763" s="2" t="str">
        <f>TEXT(data[[#This Row],[Date]],"mmm yyyy")</f>
        <v>Dec 2024</v>
      </c>
      <c r="T763" s="8">
        <f>data[[#This Row],[Profit]]/data[[#This Row],[Revenue]]</f>
        <v>0.31576714851816712</v>
      </c>
    </row>
    <row r="764" spans="1:20" x14ac:dyDescent="0.3">
      <c r="A764">
        <v>10762</v>
      </c>
      <c r="B764" t="s">
        <v>275</v>
      </c>
      <c r="C764" t="s">
        <v>609</v>
      </c>
      <c r="D764" t="s">
        <v>623</v>
      </c>
      <c r="E764" t="s">
        <v>627</v>
      </c>
      <c r="F764" t="s">
        <v>1364</v>
      </c>
      <c r="G764" t="s">
        <v>1759</v>
      </c>
      <c r="H764" t="s">
        <v>1768</v>
      </c>
      <c r="I764" t="s">
        <v>1774</v>
      </c>
      <c r="J764" t="s">
        <v>1776</v>
      </c>
      <c r="K764">
        <v>9</v>
      </c>
      <c r="L764" s="2">
        <v>832</v>
      </c>
      <c r="M764">
        <v>0.05</v>
      </c>
      <c r="N764" s="2">
        <v>522.87</v>
      </c>
      <c r="O764" s="2">
        <v>7113.6</v>
      </c>
      <c r="P764" s="2">
        <v>4705.83</v>
      </c>
      <c r="Q764" s="2">
        <v>2407.77</v>
      </c>
      <c r="R764">
        <v>0</v>
      </c>
      <c r="S764" s="2" t="str">
        <f>TEXT(data[[#This Row],[Date]],"mmm yyyy")</f>
        <v>Nov 2024</v>
      </c>
      <c r="T764" s="8">
        <f>data[[#This Row],[Profit]]/data[[#This Row],[Revenue]]</f>
        <v>0.33847419028340081</v>
      </c>
    </row>
    <row r="765" spans="1:20" x14ac:dyDescent="0.3">
      <c r="A765">
        <v>10763</v>
      </c>
      <c r="B765" t="s">
        <v>486</v>
      </c>
      <c r="C765" t="s">
        <v>607</v>
      </c>
      <c r="D765" t="s">
        <v>624</v>
      </c>
      <c r="E765" t="s">
        <v>629</v>
      </c>
      <c r="F765" t="s">
        <v>1365</v>
      </c>
      <c r="G765" t="s">
        <v>1762</v>
      </c>
      <c r="H765" t="s">
        <v>1770</v>
      </c>
      <c r="I765" t="s">
        <v>1773</v>
      </c>
      <c r="J765" t="s">
        <v>1777</v>
      </c>
      <c r="K765">
        <v>10</v>
      </c>
      <c r="L765" s="2">
        <v>774</v>
      </c>
      <c r="M765">
        <v>0.1</v>
      </c>
      <c r="N765" s="2">
        <v>533.65</v>
      </c>
      <c r="O765" s="2">
        <v>6966</v>
      </c>
      <c r="P765" s="2">
        <v>5336.5</v>
      </c>
      <c r="Q765" s="2">
        <v>1629.5</v>
      </c>
      <c r="R765">
        <v>0</v>
      </c>
      <c r="S765" s="2" t="str">
        <f>TEXT(data[[#This Row],[Date]],"mmm yyyy")</f>
        <v>Mar 2025</v>
      </c>
      <c r="T765" s="8">
        <f>data[[#This Row],[Profit]]/data[[#This Row],[Revenue]]</f>
        <v>0.23392190640252655</v>
      </c>
    </row>
    <row r="766" spans="1:20" x14ac:dyDescent="0.3">
      <c r="A766">
        <v>10764</v>
      </c>
      <c r="B766" t="s">
        <v>65</v>
      </c>
      <c r="C766" t="s">
        <v>609</v>
      </c>
      <c r="D766" t="s">
        <v>623</v>
      </c>
      <c r="E766" t="s">
        <v>626</v>
      </c>
      <c r="F766" t="s">
        <v>1366</v>
      </c>
      <c r="G766" t="s">
        <v>1760</v>
      </c>
      <c r="H766" t="s">
        <v>1772</v>
      </c>
      <c r="I766" t="s">
        <v>1774</v>
      </c>
      <c r="J766" t="s">
        <v>1779</v>
      </c>
      <c r="K766">
        <v>4</v>
      </c>
      <c r="L766" s="2">
        <v>939</v>
      </c>
      <c r="M766">
        <v>0.1</v>
      </c>
      <c r="N766" s="2">
        <v>600.5</v>
      </c>
      <c r="O766" s="2">
        <v>3380.4</v>
      </c>
      <c r="P766" s="2">
        <v>2402</v>
      </c>
      <c r="Q766" s="2">
        <v>978.4</v>
      </c>
      <c r="R766">
        <v>0</v>
      </c>
      <c r="S766" s="2" t="str">
        <f>TEXT(data[[#This Row],[Date]],"mmm yyyy")</f>
        <v>Jan 2025</v>
      </c>
      <c r="T766" s="8">
        <f>data[[#This Row],[Profit]]/data[[#This Row],[Revenue]]</f>
        <v>0.28943320317122234</v>
      </c>
    </row>
    <row r="767" spans="1:20" x14ac:dyDescent="0.3">
      <c r="A767">
        <v>10765</v>
      </c>
      <c r="B767" t="s">
        <v>497</v>
      </c>
      <c r="C767" t="s">
        <v>608</v>
      </c>
      <c r="D767" t="s">
        <v>618</v>
      </c>
      <c r="E767" t="s">
        <v>628</v>
      </c>
      <c r="F767" t="s">
        <v>1367</v>
      </c>
      <c r="G767" t="s">
        <v>1759</v>
      </c>
      <c r="H767" t="s">
        <v>1768</v>
      </c>
      <c r="I767" t="s">
        <v>1774</v>
      </c>
      <c r="J767" t="s">
        <v>1779</v>
      </c>
      <c r="K767">
        <v>3</v>
      </c>
      <c r="L767" s="2">
        <v>1207</v>
      </c>
      <c r="M767">
        <v>0.1</v>
      </c>
      <c r="N767" s="2">
        <v>767.7</v>
      </c>
      <c r="O767" s="2">
        <v>3258.9</v>
      </c>
      <c r="P767" s="2">
        <v>2303.1</v>
      </c>
      <c r="Q767" s="2">
        <v>955.8</v>
      </c>
      <c r="R767">
        <v>0</v>
      </c>
      <c r="S767" s="2" t="str">
        <f>TEXT(data[[#This Row],[Date]],"mmm yyyy")</f>
        <v>Nov 2024</v>
      </c>
      <c r="T767" s="8">
        <f>data[[#This Row],[Profit]]/data[[#This Row],[Revenue]]</f>
        <v>0.29328914664457328</v>
      </c>
    </row>
    <row r="768" spans="1:20" x14ac:dyDescent="0.3">
      <c r="A768">
        <v>10766</v>
      </c>
      <c r="B768" t="s">
        <v>498</v>
      </c>
      <c r="C768" t="s">
        <v>609</v>
      </c>
      <c r="D768" t="s">
        <v>613</v>
      </c>
      <c r="E768" t="s">
        <v>626</v>
      </c>
      <c r="F768" t="s">
        <v>1368</v>
      </c>
      <c r="G768" t="s">
        <v>1760</v>
      </c>
      <c r="H768" t="s">
        <v>1767</v>
      </c>
      <c r="I768" t="s">
        <v>1774</v>
      </c>
      <c r="J768" t="s">
        <v>1777</v>
      </c>
      <c r="K768">
        <v>18</v>
      </c>
      <c r="L768" s="2">
        <v>235</v>
      </c>
      <c r="M768">
        <v>0.1</v>
      </c>
      <c r="N768" s="2">
        <v>169.9</v>
      </c>
      <c r="O768" s="2">
        <v>3807</v>
      </c>
      <c r="P768" s="2">
        <v>3058.2</v>
      </c>
      <c r="Q768" s="2">
        <v>748.8</v>
      </c>
      <c r="R768">
        <v>0</v>
      </c>
      <c r="S768" s="2" t="str">
        <f>TEXT(data[[#This Row],[Date]],"mmm yyyy")</f>
        <v>Feb 2024</v>
      </c>
      <c r="T768" s="8">
        <f>data[[#This Row],[Profit]]/data[[#This Row],[Revenue]]</f>
        <v>0.19669030732860518</v>
      </c>
    </row>
    <row r="769" spans="1:20" x14ac:dyDescent="0.3">
      <c r="A769">
        <v>10767</v>
      </c>
      <c r="B769" t="s">
        <v>499</v>
      </c>
      <c r="C769" t="s">
        <v>606</v>
      </c>
      <c r="D769" t="s">
        <v>610</v>
      </c>
      <c r="E769" t="s">
        <v>629</v>
      </c>
      <c r="F769" t="s">
        <v>1369</v>
      </c>
      <c r="G769" t="s">
        <v>1764</v>
      </c>
      <c r="H769" t="s">
        <v>1769</v>
      </c>
      <c r="I769" t="s">
        <v>1774</v>
      </c>
      <c r="J769" t="s">
        <v>1779</v>
      </c>
      <c r="K769">
        <v>4</v>
      </c>
      <c r="L769" s="2">
        <v>491</v>
      </c>
      <c r="M769">
        <v>0.1</v>
      </c>
      <c r="N769" s="2">
        <v>266.18</v>
      </c>
      <c r="O769" s="2">
        <v>1767.6</v>
      </c>
      <c r="P769" s="2">
        <v>1064.72</v>
      </c>
      <c r="Q769" s="2">
        <v>702.88</v>
      </c>
      <c r="R769">
        <v>0</v>
      </c>
      <c r="S769" s="2" t="str">
        <f>TEXT(data[[#This Row],[Date]],"mmm yyyy")</f>
        <v>Nov 2024</v>
      </c>
      <c r="T769" s="8">
        <f>data[[#This Row],[Profit]]/data[[#This Row],[Revenue]]</f>
        <v>0.39764652636343067</v>
      </c>
    </row>
    <row r="770" spans="1:20" x14ac:dyDescent="0.3">
      <c r="A770">
        <v>10768</v>
      </c>
      <c r="B770" t="s">
        <v>500</v>
      </c>
      <c r="C770" t="s">
        <v>609</v>
      </c>
      <c r="D770" t="s">
        <v>623</v>
      </c>
      <c r="E770" t="s">
        <v>626</v>
      </c>
      <c r="F770" t="s">
        <v>709</v>
      </c>
      <c r="G770" t="s">
        <v>1761</v>
      </c>
      <c r="H770" t="s">
        <v>1770</v>
      </c>
      <c r="I770" t="s">
        <v>1773</v>
      </c>
      <c r="J770" t="s">
        <v>1778</v>
      </c>
      <c r="K770">
        <v>19</v>
      </c>
      <c r="L770" s="2">
        <v>889</v>
      </c>
      <c r="M770">
        <v>0.1</v>
      </c>
      <c r="N770" s="2">
        <v>640.89</v>
      </c>
      <c r="O770" s="2">
        <v>15201.9</v>
      </c>
      <c r="P770" s="2">
        <v>12176.91</v>
      </c>
      <c r="Q770" s="2">
        <v>3024.99</v>
      </c>
      <c r="R770">
        <v>0</v>
      </c>
      <c r="S770" s="2" t="str">
        <f>TEXT(data[[#This Row],[Date]],"mmm yyyy")</f>
        <v>Aug 2024</v>
      </c>
      <c r="T770" s="8">
        <f>data[[#This Row],[Profit]]/data[[#This Row],[Revenue]]</f>
        <v>0.19898762654668165</v>
      </c>
    </row>
    <row r="771" spans="1:20" x14ac:dyDescent="0.3">
      <c r="A771">
        <v>10769</v>
      </c>
      <c r="B771" t="s">
        <v>26</v>
      </c>
      <c r="C771" t="s">
        <v>608</v>
      </c>
      <c r="D771" t="s">
        <v>615</v>
      </c>
      <c r="E771" t="s">
        <v>626</v>
      </c>
      <c r="F771" t="s">
        <v>1370</v>
      </c>
      <c r="G771" t="s">
        <v>1761</v>
      </c>
      <c r="H771" t="s">
        <v>1768</v>
      </c>
      <c r="I771" t="s">
        <v>1774</v>
      </c>
      <c r="J771" t="s">
        <v>1778</v>
      </c>
      <c r="K771">
        <v>3</v>
      </c>
      <c r="L771" s="2">
        <v>1208</v>
      </c>
      <c r="M771">
        <v>0.15</v>
      </c>
      <c r="N771" s="2">
        <v>756.68</v>
      </c>
      <c r="O771" s="2">
        <v>3080.4</v>
      </c>
      <c r="P771" s="2">
        <v>2270.04</v>
      </c>
      <c r="Q771" s="2">
        <v>810.36</v>
      </c>
      <c r="R771">
        <v>0</v>
      </c>
      <c r="S771" s="2" t="str">
        <f>TEXT(data[[#This Row],[Date]],"mmm yyyy")</f>
        <v>Nov 2025</v>
      </c>
      <c r="T771" s="8">
        <f>data[[#This Row],[Profit]]/data[[#This Row],[Revenue]]</f>
        <v>0.26306973120373978</v>
      </c>
    </row>
    <row r="772" spans="1:20" x14ac:dyDescent="0.3">
      <c r="A772">
        <v>10770</v>
      </c>
      <c r="B772" t="s">
        <v>57</v>
      </c>
      <c r="C772" t="s">
        <v>608</v>
      </c>
      <c r="D772" t="s">
        <v>615</v>
      </c>
      <c r="E772" t="s">
        <v>628</v>
      </c>
      <c r="F772" t="s">
        <v>1371</v>
      </c>
      <c r="G772" t="s">
        <v>1766</v>
      </c>
      <c r="H772" t="s">
        <v>1770</v>
      </c>
      <c r="I772" t="s">
        <v>1775</v>
      </c>
      <c r="J772" t="s">
        <v>1777</v>
      </c>
      <c r="K772">
        <v>6</v>
      </c>
      <c r="L772" s="2">
        <v>514</v>
      </c>
      <c r="M772">
        <v>0.05</v>
      </c>
      <c r="N772" s="2">
        <v>373.73</v>
      </c>
      <c r="O772" s="2">
        <v>2929.8</v>
      </c>
      <c r="P772" s="2">
        <v>2242.38</v>
      </c>
      <c r="Q772" s="2">
        <v>687.42</v>
      </c>
      <c r="R772">
        <v>0</v>
      </c>
      <c r="S772" s="2" t="str">
        <f>TEXT(data[[#This Row],[Date]],"mmm yyyy")</f>
        <v>Apr 2025</v>
      </c>
      <c r="T772" s="8">
        <f>data[[#This Row],[Profit]]/data[[#This Row],[Revenue]]</f>
        <v>0.2346303501945525</v>
      </c>
    </row>
    <row r="773" spans="1:20" x14ac:dyDescent="0.3">
      <c r="A773">
        <v>10771</v>
      </c>
      <c r="B773" t="s">
        <v>189</v>
      </c>
      <c r="C773" t="s">
        <v>606</v>
      </c>
      <c r="D773" t="s">
        <v>620</v>
      </c>
      <c r="E773" t="s">
        <v>626</v>
      </c>
      <c r="F773" t="s">
        <v>1372</v>
      </c>
      <c r="G773" t="s">
        <v>1763</v>
      </c>
      <c r="H773" t="s">
        <v>1771</v>
      </c>
      <c r="I773" t="s">
        <v>1774</v>
      </c>
      <c r="J773" t="s">
        <v>1776</v>
      </c>
      <c r="K773">
        <v>15</v>
      </c>
      <c r="L773" s="2">
        <v>636</v>
      </c>
      <c r="M773">
        <v>0.05</v>
      </c>
      <c r="N773" s="2">
        <v>405.34</v>
      </c>
      <c r="O773" s="2">
        <v>9063</v>
      </c>
      <c r="P773" s="2">
        <v>6080.1</v>
      </c>
      <c r="Q773" s="2">
        <v>2982.9</v>
      </c>
      <c r="R773">
        <v>0</v>
      </c>
      <c r="S773" s="2" t="str">
        <f>TEXT(data[[#This Row],[Date]],"mmm yyyy")</f>
        <v>Dec 2024</v>
      </c>
      <c r="T773" s="8">
        <f>data[[#This Row],[Profit]]/data[[#This Row],[Revenue]]</f>
        <v>0.32912942734193978</v>
      </c>
    </row>
    <row r="774" spans="1:20" x14ac:dyDescent="0.3">
      <c r="A774">
        <v>10772</v>
      </c>
      <c r="B774" t="s">
        <v>343</v>
      </c>
      <c r="C774" t="s">
        <v>608</v>
      </c>
      <c r="D774" t="s">
        <v>618</v>
      </c>
      <c r="E774" t="s">
        <v>628</v>
      </c>
      <c r="F774" t="s">
        <v>1373</v>
      </c>
      <c r="G774" t="s">
        <v>1759</v>
      </c>
      <c r="H774" t="s">
        <v>1771</v>
      </c>
      <c r="I774" t="s">
        <v>1775</v>
      </c>
      <c r="J774" t="s">
        <v>1779</v>
      </c>
      <c r="K774">
        <v>17</v>
      </c>
      <c r="L774" s="2">
        <v>690</v>
      </c>
      <c r="M774">
        <v>0.2</v>
      </c>
      <c r="N774" s="2">
        <v>412.39</v>
      </c>
      <c r="O774" s="2">
        <v>9384</v>
      </c>
      <c r="P774" s="2">
        <v>7010.63</v>
      </c>
      <c r="Q774" s="2">
        <v>2373.37</v>
      </c>
      <c r="R774">
        <v>0</v>
      </c>
      <c r="S774" s="2" t="str">
        <f>TEXT(data[[#This Row],[Date]],"mmm yyyy")</f>
        <v>Sep 2025</v>
      </c>
      <c r="T774" s="8">
        <f>data[[#This Row],[Profit]]/data[[#This Row],[Revenue]]</f>
        <v>0.25291666666666668</v>
      </c>
    </row>
    <row r="775" spans="1:20" x14ac:dyDescent="0.3">
      <c r="A775">
        <v>10773</v>
      </c>
      <c r="B775" t="s">
        <v>501</v>
      </c>
      <c r="C775" t="s">
        <v>609</v>
      </c>
      <c r="D775" t="s">
        <v>619</v>
      </c>
      <c r="E775" t="s">
        <v>629</v>
      </c>
      <c r="F775" t="s">
        <v>1374</v>
      </c>
      <c r="G775" t="s">
        <v>1764</v>
      </c>
      <c r="H775" t="s">
        <v>1769</v>
      </c>
      <c r="I775" t="s">
        <v>1775</v>
      </c>
      <c r="J775" t="s">
        <v>1776</v>
      </c>
      <c r="K775">
        <v>14</v>
      </c>
      <c r="L775" s="2">
        <v>412</v>
      </c>
      <c r="M775">
        <v>0</v>
      </c>
      <c r="N775" s="2">
        <v>301.81</v>
      </c>
      <c r="O775" s="2">
        <v>5768</v>
      </c>
      <c r="P775" s="2">
        <v>4225.34</v>
      </c>
      <c r="Q775" s="2">
        <v>1542.66</v>
      </c>
      <c r="R775">
        <v>1</v>
      </c>
      <c r="S775" s="2" t="str">
        <f>TEXT(data[[#This Row],[Date]],"mmm yyyy")</f>
        <v>Dec 2025</v>
      </c>
      <c r="T775" s="8">
        <f>data[[#This Row],[Profit]]/data[[#This Row],[Revenue]]</f>
        <v>0.26745145631067962</v>
      </c>
    </row>
    <row r="776" spans="1:20" x14ac:dyDescent="0.3">
      <c r="A776">
        <v>10774</v>
      </c>
      <c r="B776" t="s">
        <v>262</v>
      </c>
      <c r="C776" t="s">
        <v>607</v>
      </c>
      <c r="D776" t="s">
        <v>624</v>
      </c>
      <c r="E776" t="s">
        <v>629</v>
      </c>
      <c r="F776" t="s">
        <v>1375</v>
      </c>
      <c r="G776" t="s">
        <v>1766</v>
      </c>
      <c r="H776" t="s">
        <v>1767</v>
      </c>
      <c r="I776" t="s">
        <v>1774</v>
      </c>
      <c r="J776" t="s">
        <v>1777</v>
      </c>
      <c r="K776">
        <v>11</v>
      </c>
      <c r="L776" s="2">
        <v>274</v>
      </c>
      <c r="M776">
        <v>0.05</v>
      </c>
      <c r="N776" s="2">
        <v>191.1</v>
      </c>
      <c r="O776" s="2">
        <v>2863.3</v>
      </c>
      <c r="P776" s="2">
        <v>2102.1</v>
      </c>
      <c r="Q776" s="2">
        <v>761.2</v>
      </c>
      <c r="R776">
        <v>0</v>
      </c>
      <c r="S776" s="2" t="str">
        <f>TEXT(data[[#This Row],[Date]],"mmm yyyy")</f>
        <v>Mar 2024</v>
      </c>
      <c r="T776" s="8">
        <f>data[[#This Row],[Profit]]/data[[#This Row],[Revenue]]</f>
        <v>0.26584709950057628</v>
      </c>
    </row>
    <row r="777" spans="1:20" x14ac:dyDescent="0.3">
      <c r="A777">
        <v>10775</v>
      </c>
      <c r="B777" t="s">
        <v>211</v>
      </c>
      <c r="C777" t="s">
        <v>606</v>
      </c>
      <c r="D777" t="s">
        <v>620</v>
      </c>
      <c r="E777" t="s">
        <v>626</v>
      </c>
      <c r="F777" t="s">
        <v>1376</v>
      </c>
      <c r="G777" t="s">
        <v>1763</v>
      </c>
      <c r="H777" t="s">
        <v>1769</v>
      </c>
      <c r="I777" t="s">
        <v>1773</v>
      </c>
      <c r="J777" t="s">
        <v>1778</v>
      </c>
      <c r="K777">
        <v>16</v>
      </c>
      <c r="L777" s="2">
        <v>218</v>
      </c>
      <c r="M777">
        <v>0.05</v>
      </c>
      <c r="N777" s="2">
        <v>130.35</v>
      </c>
      <c r="O777" s="2">
        <v>3313.6</v>
      </c>
      <c r="P777" s="2">
        <v>2085.6</v>
      </c>
      <c r="Q777" s="2">
        <v>1228</v>
      </c>
      <c r="R777">
        <v>0</v>
      </c>
      <c r="S777" s="2" t="str">
        <f>TEXT(data[[#This Row],[Date]],"mmm yyyy")</f>
        <v>Sep 2025</v>
      </c>
      <c r="T777" s="8">
        <f>data[[#This Row],[Profit]]/data[[#This Row],[Revenue]]</f>
        <v>0.37059391598261709</v>
      </c>
    </row>
    <row r="778" spans="1:20" x14ac:dyDescent="0.3">
      <c r="A778">
        <v>10776</v>
      </c>
      <c r="B778" t="s">
        <v>229</v>
      </c>
      <c r="C778" t="s">
        <v>609</v>
      </c>
      <c r="D778" t="s">
        <v>622</v>
      </c>
      <c r="E778" t="s">
        <v>626</v>
      </c>
      <c r="F778" t="s">
        <v>1377</v>
      </c>
      <c r="G778" t="s">
        <v>1764</v>
      </c>
      <c r="H778" t="s">
        <v>1772</v>
      </c>
      <c r="I778" t="s">
        <v>1775</v>
      </c>
      <c r="J778" t="s">
        <v>1777</v>
      </c>
      <c r="K778">
        <v>12</v>
      </c>
      <c r="L778" s="2">
        <v>574</v>
      </c>
      <c r="M778">
        <v>0.15</v>
      </c>
      <c r="N778" s="2">
        <v>392.88</v>
      </c>
      <c r="O778" s="2">
        <v>5854.8</v>
      </c>
      <c r="P778" s="2">
        <v>4714.5600000000004</v>
      </c>
      <c r="Q778" s="2">
        <v>1140.24</v>
      </c>
      <c r="R778">
        <v>0</v>
      </c>
      <c r="S778" s="2" t="str">
        <f>TEXT(data[[#This Row],[Date]],"mmm yyyy")</f>
        <v>Dec 2025</v>
      </c>
      <c r="T778" s="8">
        <f>data[[#This Row],[Profit]]/data[[#This Row],[Revenue]]</f>
        <v>0.19475302316048371</v>
      </c>
    </row>
    <row r="779" spans="1:20" x14ac:dyDescent="0.3">
      <c r="A779">
        <v>10777</v>
      </c>
      <c r="B779" t="s">
        <v>502</v>
      </c>
      <c r="C779" t="s">
        <v>608</v>
      </c>
      <c r="D779" t="s">
        <v>612</v>
      </c>
      <c r="E779" t="s">
        <v>628</v>
      </c>
      <c r="F779" t="s">
        <v>1378</v>
      </c>
      <c r="G779" t="s">
        <v>1763</v>
      </c>
      <c r="H779" t="s">
        <v>1769</v>
      </c>
      <c r="I779" t="s">
        <v>1774</v>
      </c>
      <c r="J779" t="s">
        <v>1779</v>
      </c>
      <c r="K779">
        <v>12</v>
      </c>
      <c r="L779" s="2">
        <v>162</v>
      </c>
      <c r="M779">
        <v>0.2</v>
      </c>
      <c r="N779" s="2">
        <v>99.68</v>
      </c>
      <c r="O779" s="2">
        <v>1555.2</v>
      </c>
      <c r="P779" s="2">
        <v>1196.1600000000001</v>
      </c>
      <c r="Q779" s="2">
        <v>359.04</v>
      </c>
      <c r="R779">
        <v>0</v>
      </c>
      <c r="S779" s="2" t="str">
        <f>TEXT(data[[#This Row],[Date]],"mmm yyyy")</f>
        <v>Sep 2025</v>
      </c>
      <c r="T779" s="8">
        <f>data[[#This Row],[Profit]]/data[[#This Row],[Revenue]]</f>
        <v>0.23086419753086421</v>
      </c>
    </row>
    <row r="780" spans="1:20" x14ac:dyDescent="0.3">
      <c r="A780">
        <v>10778</v>
      </c>
      <c r="B780" t="s">
        <v>503</v>
      </c>
      <c r="C780" t="s">
        <v>607</v>
      </c>
      <c r="D780" t="s">
        <v>621</v>
      </c>
      <c r="E780" t="s">
        <v>627</v>
      </c>
      <c r="F780" t="s">
        <v>1379</v>
      </c>
      <c r="G780" t="s">
        <v>1766</v>
      </c>
      <c r="H780" t="s">
        <v>1770</v>
      </c>
      <c r="I780" t="s">
        <v>1774</v>
      </c>
      <c r="J780" t="s">
        <v>1776</v>
      </c>
      <c r="K780">
        <v>6</v>
      </c>
      <c r="L780" s="2">
        <v>977</v>
      </c>
      <c r="M780">
        <v>0.2</v>
      </c>
      <c r="N780" s="2">
        <v>720.29</v>
      </c>
      <c r="O780" s="2">
        <v>4689.6000000000004</v>
      </c>
      <c r="P780" s="2">
        <v>4321.74</v>
      </c>
      <c r="Q780" s="2">
        <v>367.86</v>
      </c>
      <c r="R780">
        <v>0</v>
      </c>
      <c r="S780" s="2" t="str">
        <f>TEXT(data[[#This Row],[Date]],"mmm yyyy")</f>
        <v>Dec 2025</v>
      </c>
      <c r="T780" s="8">
        <f>data[[#This Row],[Profit]]/data[[#This Row],[Revenue]]</f>
        <v>7.8441658137154549E-2</v>
      </c>
    </row>
    <row r="781" spans="1:20" x14ac:dyDescent="0.3">
      <c r="A781">
        <v>10779</v>
      </c>
      <c r="B781" t="s">
        <v>301</v>
      </c>
      <c r="C781" t="s">
        <v>606</v>
      </c>
      <c r="D781" t="s">
        <v>625</v>
      </c>
      <c r="E781" t="s">
        <v>627</v>
      </c>
      <c r="F781" t="s">
        <v>1380</v>
      </c>
      <c r="G781" t="s">
        <v>1763</v>
      </c>
      <c r="H781" t="s">
        <v>1767</v>
      </c>
      <c r="I781" t="s">
        <v>1774</v>
      </c>
      <c r="J781" t="s">
        <v>1777</v>
      </c>
      <c r="K781">
        <v>19</v>
      </c>
      <c r="L781" s="2">
        <v>164</v>
      </c>
      <c r="M781">
        <v>0.1</v>
      </c>
      <c r="N781" s="2">
        <v>115.01</v>
      </c>
      <c r="O781" s="2">
        <v>2804.4</v>
      </c>
      <c r="P781" s="2">
        <v>2185.19</v>
      </c>
      <c r="Q781" s="2">
        <v>619.21</v>
      </c>
      <c r="R781">
        <v>1</v>
      </c>
      <c r="S781" s="2" t="str">
        <f>TEXT(data[[#This Row],[Date]],"mmm yyyy")</f>
        <v>May 2024</v>
      </c>
      <c r="T781" s="8">
        <f>data[[#This Row],[Profit]]/data[[#This Row],[Revenue]]</f>
        <v>0.22079945799457995</v>
      </c>
    </row>
    <row r="782" spans="1:20" x14ac:dyDescent="0.3">
      <c r="A782">
        <v>10780</v>
      </c>
      <c r="B782" t="s">
        <v>160</v>
      </c>
      <c r="C782" t="s">
        <v>608</v>
      </c>
      <c r="D782" t="s">
        <v>618</v>
      </c>
      <c r="E782" t="s">
        <v>626</v>
      </c>
      <c r="F782" t="s">
        <v>1381</v>
      </c>
      <c r="G782" t="s">
        <v>1766</v>
      </c>
      <c r="H782" t="s">
        <v>1772</v>
      </c>
      <c r="I782" t="s">
        <v>1773</v>
      </c>
      <c r="J782" t="s">
        <v>1777</v>
      </c>
      <c r="K782">
        <v>2</v>
      </c>
      <c r="L782" s="2">
        <v>513</v>
      </c>
      <c r="M782">
        <v>0.2</v>
      </c>
      <c r="N782" s="2">
        <v>363.91</v>
      </c>
      <c r="O782" s="2">
        <v>820.8</v>
      </c>
      <c r="P782" s="2">
        <v>727.82</v>
      </c>
      <c r="Q782" s="2">
        <v>92.98</v>
      </c>
      <c r="R782">
        <v>1</v>
      </c>
      <c r="S782" s="2" t="str">
        <f>TEXT(data[[#This Row],[Date]],"mmm yyyy")</f>
        <v>Feb 2025</v>
      </c>
      <c r="T782" s="8">
        <f>data[[#This Row],[Profit]]/data[[#This Row],[Revenue]]</f>
        <v>0.11327972709551658</v>
      </c>
    </row>
    <row r="783" spans="1:20" x14ac:dyDescent="0.3">
      <c r="A783">
        <v>10781</v>
      </c>
      <c r="B783" t="s">
        <v>504</v>
      </c>
      <c r="C783" t="s">
        <v>606</v>
      </c>
      <c r="D783" t="s">
        <v>610</v>
      </c>
      <c r="E783" t="s">
        <v>627</v>
      </c>
      <c r="F783" t="s">
        <v>1382</v>
      </c>
      <c r="G783" t="s">
        <v>1766</v>
      </c>
      <c r="H783" t="s">
        <v>1768</v>
      </c>
      <c r="I783" t="s">
        <v>1775</v>
      </c>
      <c r="J783" t="s">
        <v>1779</v>
      </c>
      <c r="K783">
        <v>13</v>
      </c>
      <c r="L783" s="2">
        <v>951</v>
      </c>
      <c r="M783">
        <v>0.1</v>
      </c>
      <c r="N783" s="2">
        <v>635.4</v>
      </c>
      <c r="O783" s="2">
        <v>11126.7</v>
      </c>
      <c r="P783" s="2">
        <v>8260.2000000000007</v>
      </c>
      <c r="Q783" s="2">
        <v>2866.5</v>
      </c>
      <c r="R783">
        <v>0</v>
      </c>
      <c r="S783" s="2" t="str">
        <f>TEXT(data[[#This Row],[Date]],"mmm yyyy")</f>
        <v>Aug 2025</v>
      </c>
      <c r="T783" s="8">
        <f>data[[#This Row],[Profit]]/data[[#This Row],[Revenue]]</f>
        <v>0.25762355415352262</v>
      </c>
    </row>
    <row r="784" spans="1:20" x14ac:dyDescent="0.3">
      <c r="A784">
        <v>10782</v>
      </c>
      <c r="B784" t="s">
        <v>505</v>
      </c>
      <c r="C784" t="s">
        <v>606</v>
      </c>
      <c r="D784" t="s">
        <v>625</v>
      </c>
      <c r="E784" t="s">
        <v>626</v>
      </c>
      <c r="F784" t="s">
        <v>1383</v>
      </c>
      <c r="G784" t="s">
        <v>1763</v>
      </c>
      <c r="H784" t="s">
        <v>1769</v>
      </c>
      <c r="I784" t="s">
        <v>1774</v>
      </c>
      <c r="J784" t="s">
        <v>1779</v>
      </c>
      <c r="K784">
        <v>10</v>
      </c>
      <c r="L784" s="2">
        <v>425</v>
      </c>
      <c r="M784">
        <v>0</v>
      </c>
      <c r="N784" s="2">
        <v>239.35</v>
      </c>
      <c r="O784" s="2">
        <v>4250</v>
      </c>
      <c r="P784" s="2">
        <v>2393.5</v>
      </c>
      <c r="Q784" s="2">
        <v>1856.5</v>
      </c>
      <c r="R784">
        <v>0</v>
      </c>
      <c r="S784" s="2" t="str">
        <f>TEXT(data[[#This Row],[Date]],"mmm yyyy")</f>
        <v>Aug 2025</v>
      </c>
      <c r="T784" s="8">
        <f>data[[#This Row],[Profit]]/data[[#This Row],[Revenue]]</f>
        <v>0.43682352941176472</v>
      </c>
    </row>
    <row r="785" spans="1:20" x14ac:dyDescent="0.3">
      <c r="A785">
        <v>10783</v>
      </c>
      <c r="B785" t="s">
        <v>97</v>
      </c>
      <c r="C785" t="s">
        <v>607</v>
      </c>
      <c r="D785" t="s">
        <v>611</v>
      </c>
      <c r="E785" t="s">
        <v>627</v>
      </c>
      <c r="F785" t="s">
        <v>1384</v>
      </c>
      <c r="G785" t="s">
        <v>1763</v>
      </c>
      <c r="H785" t="s">
        <v>1768</v>
      </c>
      <c r="I785" t="s">
        <v>1773</v>
      </c>
      <c r="J785" t="s">
        <v>1777</v>
      </c>
      <c r="K785">
        <v>3</v>
      </c>
      <c r="L785" s="2">
        <v>1389</v>
      </c>
      <c r="M785">
        <v>0</v>
      </c>
      <c r="N785" s="2">
        <v>811.45</v>
      </c>
      <c r="O785" s="2">
        <v>4167</v>
      </c>
      <c r="P785" s="2">
        <v>2434.35</v>
      </c>
      <c r="Q785" s="2">
        <v>1732.65</v>
      </c>
      <c r="R785">
        <v>0</v>
      </c>
      <c r="S785" s="2" t="str">
        <f>TEXT(data[[#This Row],[Date]],"mmm yyyy")</f>
        <v>Jul 2024</v>
      </c>
      <c r="T785" s="8">
        <f>data[[#This Row],[Profit]]/data[[#This Row],[Revenue]]</f>
        <v>0.41580273578113752</v>
      </c>
    </row>
    <row r="786" spans="1:20" x14ac:dyDescent="0.3">
      <c r="A786">
        <v>10784</v>
      </c>
      <c r="B786" t="s">
        <v>506</v>
      </c>
      <c r="C786" t="s">
        <v>609</v>
      </c>
      <c r="D786" t="s">
        <v>613</v>
      </c>
      <c r="E786" t="s">
        <v>629</v>
      </c>
      <c r="F786" t="s">
        <v>1385</v>
      </c>
      <c r="G786" t="s">
        <v>1763</v>
      </c>
      <c r="H786" t="s">
        <v>1767</v>
      </c>
      <c r="I786" t="s">
        <v>1773</v>
      </c>
      <c r="J786" t="s">
        <v>1779</v>
      </c>
      <c r="K786">
        <v>20</v>
      </c>
      <c r="L786" s="2">
        <v>135</v>
      </c>
      <c r="M786">
        <v>0</v>
      </c>
      <c r="N786" s="2">
        <v>72.58</v>
      </c>
      <c r="O786" s="2">
        <v>2700</v>
      </c>
      <c r="P786" s="2">
        <v>1451.6</v>
      </c>
      <c r="Q786" s="2">
        <v>1248.4000000000001</v>
      </c>
      <c r="R786">
        <v>0</v>
      </c>
      <c r="S786" s="2" t="str">
        <f>TEXT(data[[#This Row],[Date]],"mmm yyyy")</f>
        <v>Aug 2024</v>
      </c>
      <c r="T786" s="8">
        <f>data[[#This Row],[Profit]]/data[[#This Row],[Revenue]]</f>
        <v>0.46237037037037043</v>
      </c>
    </row>
    <row r="787" spans="1:20" x14ac:dyDescent="0.3">
      <c r="A787">
        <v>10785</v>
      </c>
      <c r="B787" t="s">
        <v>27</v>
      </c>
      <c r="C787" t="s">
        <v>608</v>
      </c>
      <c r="D787" t="s">
        <v>612</v>
      </c>
      <c r="E787" t="s">
        <v>627</v>
      </c>
      <c r="F787" t="s">
        <v>1386</v>
      </c>
      <c r="G787" t="s">
        <v>1765</v>
      </c>
      <c r="H787" t="s">
        <v>1770</v>
      </c>
      <c r="I787" t="s">
        <v>1775</v>
      </c>
      <c r="J787" t="s">
        <v>1776</v>
      </c>
      <c r="K787">
        <v>15</v>
      </c>
      <c r="L787" s="2">
        <v>763</v>
      </c>
      <c r="M787">
        <v>0.2</v>
      </c>
      <c r="N787" s="2">
        <v>517.34</v>
      </c>
      <c r="O787" s="2">
        <v>9156</v>
      </c>
      <c r="P787" s="2">
        <v>7760.1</v>
      </c>
      <c r="Q787" s="2">
        <v>1395.9</v>
      </c>
      <c r="R787">
        <v>1</v>
      </c>
      <c r="S787" s="2" t="str">
        <f>TEXT(data[[#This Row],[Date]],"mmm yyyy")</f>
        <v>Sep 2024</v>
      </c>
      <c r="T787" s="8">
        <f>data[[#This Row],[Profit]]/data[[#This Row],[Revenue]]</f>
        <v>0.15245740498034077</v>
      </c>
    </row>
    <row r="788" spans="1:20" x14ac:dyDescent="0.3">
      <c r="A788">
        <v>10786</v>
      </c>
      <c r="B788" t="s">
        <v>478</v>
      </c>
      <c r="C788" t="s">
        <v>608</v>
      </c>
      <c r="D788" t="s">
        <v>615</v>
      </c>
      <c r="E788" t="s">
        <v>629</v>
      </c>
      <c r="F788" t="s">
        <v>1387</v>
      </c>
      <c r="G788" t="s">
        <v>1761</v>
      </c>
      <c r="H788" t="s">
        <v>1767</v>
      </c>
      <c r="I788" t="s">
        <v>1774</v>
      </c>
      <c r="J788" t="s">
        <v>1777</v>
      </c>
      <c r="K788">
        <v>2</v>
      </c>
      <c r="L788" s="2">
        <v>223</v>
      </c>
      <c r="M788">
        <v>0.1</v>
      </c>
      <c r="N788" s="2">
        <v>118.16</v>
      </c>
      <c r="O788" s="2">
        <v>401.4</v>
      </c>
      <c r="P788" s="2">
        <v>236.32</v>
      </c>
      <c r="Q788" s="2">
        <v>165.08</v>
      </c>
      <c r="R788">
        <v>0</v>
      </c>
      <c r="S788" s="2" t="str">
        <f>TEXT(data[[#This Row],[Date]],"mmm yyyy")</f>
        <v>Mar 2024</v>
      </c>
      <c r="T788" s="8">
        <f>data[[#This Row],[Profit]]/data[[#This Row],[Revenue]]</f>
        <v>0.41126058794220233</v>
      </c>
    </row>
    <row r="789" spans="1:20" x14ac:dyDescent="0.3">
      <c r="A789">
        <v>10787</v>
      </c>
      <c r="B789" t="s">
        <v>216</v>
      </c>
      <c r="C789" t="s">
        <v>607</v>
      </c>
      <c r="D789" t="s">
        <v>621</v>
      </c>
      <c r="E789" t="s">
        <v>628</v>
      </c>
      <c r="F789" t="s">
        <v>1388</v>
      </c>
      <c r="G789" t="s">
        <v>1759</v>
      </c>
      <c r="H789" t="s">
        <v>1770</v>
      </c>
      <c r="I789" t="s">
        <v>1775</v>
      </c>
      <c r="J789" t="s">
        <v>1777</v>
      </c>
      <c r="K789">
        <v>2</v>
      </c>
      <c r="L789" s="2">
        <v>726</v>
      </c>
      <c r="M789">
        <v>0.1</v>
      </c>
      <c r="N789" s="2">
        <v>399.27</v>
      </c>
      <c r="O789" s="2">
        <v>1306.8</v>
      </c>
      <c r="P789" s="2">
        <v>798.54</v>
      </c>
      <c r="Q789" s="2">
        <v>508.26</v>
      </c>
      <c r="R789">
        <v>0</v>
      </c>
      <c r="S789" s="2" t="str">
        <f>TEXT(data[[#This Row],[Date]],"mmm yyyy")</f>
        <v>Feb 2025</v>
      </c>
      <c r="T789" s="8">
        <f>data[[#This Row],[Profit]]/data[[#This Row],[Revenue]]</f>
        <v>0.38893480257116619</v>
      </c>
    </row>
    <row r="790" spans="1:20" x14ac:dyDescent="0.3">
      <c r="A790">
        <v>10788</v>
      </c>
      <c r="B790" t="s">
        <v>138</v>
      </c>
      <c r="C790" t="s">
        <v>607</v>
      </c>
      <c r="D790" t="s">
        <v>617</v>
      </c>
      <c r="E790" t="s">
        <v>626</v>
      </c>
      <c r="F790" t="s">
        <v>1389</v>
      </c>
      <c r="G790" t="s">
        <v>1764</v>
      </c>
      <c r="H790" t="s">
        <v>1770</v>
      </c>
      <c r="I790" t="s">
        <v>1773</v>
      </c>
      <c r="J790" t="s">
        <v>1779</v>
      </c>
      <c r="K790">
        <v>17</v>
      </c>
      <c r="L790" s="2">
        <v>877</v>
      </c>
      <c r="M790">
        <v>0.15</v>
      </c>
      <c r="N790" s="2">
        <v>462.51</v>
      </c>
      <c r="O790" s="2">
        <v>12672.65</v>
      </c>
      <c r="P790" s="2">
        <v>7862.67</v>
      </c>
      <c r="Q790" s="2">
        <v>4809.9799999999996</v>
      </c>
      <c r="R790">
        <v>0</v>
      </c>
      <c r="S790" s="2" t="str">
        <f>TEXT(data[[#This Row],[Date]],"mmm yyyy")</f>
        <v>May 2025</v>
      </c>
      <c r="T790" s="8">
        <f>data[[#This Row],[Profit]]/data[[#This Row],[Revenue]]</f>
        <v>0.37955597290227377</v>
      </c>
    </row>
    <row r="791" spans="1:20" x14ac:dyDescent="0.3">
      <c r="A791">
        <v>10789</v>
      </c>
      <c r="B791" t="s">
        <v>507</v>
      </c>
      <c r="C791" t="s">
        <v>606</v>
      </c>
      <c r="D791" t="s">
        <v>616</v>
      </c>
      <c r="E791" t="s">
        <v>629</v>
      </c>
      <c r="F791" t="s">
        <v>1390</v>
      </c>
      <c r="G791" t="s">
        <v>1764</v>
      </c>
      <c r="H791" t="s">
        <v>1770</v>
      </c>
      <c r="I791" t="s">
        <v>1775</v>
      </c>
      <c r="J791" t="s">
        <v>1779</v>
      </c>
      <c r="K791">
        <v>14</v>
      </c>
      <c r="L791" s="2">
        <v>891</v>
      </c>
      <c r="M791">
        <v>0.15</v>
      </c>
      <c r="N791" s="2">
        <v>597.12</v>
      </c>
      <c r="O791" s="2">
        <v>10602.9</v>
      </c>
      <c r="P791" s="2">
        <v>8359.68</v>
      </c>
      <c r="Q791" s="2">
        <v>2243.2199999999998</v>
      </c>
      <c r="R791">
        <v>0</v>
      </c>
      <c r="S791" s="2" t="str">
        <f>TEXT(data[[#This Row],[Date]],"mmm yyyy")</f>
        <v>Jun 2024</v>
      </c>
      <c r="T791" s="8">
        <f>data[[#This Row],[Profit]]/data[[#This Row],[Revenue]]</f>
        <v>0.21156664686076448</v>
      </c>
    </row>
    <row r="792" spans="1:20" x14ac:dyDescent="0.3">
      <c r="A792">
        <v>10790</v>
      </c>
      <c r="B792" t="s">
        <v>499</v>
      </c>
      <c r="C792" t="s">
        <v>609</v>
      </c>
      <c r="D792" t="s">
        <v>613</v>
      </c>
      <c r="E792" t="s">
        <v>628</v>
      </c>
      <c r="F792" t="s">
        <v>1391</v>
      </c>
      <c r="G792" t="s">
        <v>1764</v>
      </c>
      <c r="H792" t="s">
        <v>1768</v>
      </c>
      <c r="I792" t="s">
        <v>1773</v>
      </c>
      <c r="J792" t="s">
        <v>1776</v>
      </c>
      <c r="K792">
        <v>15</v>
      </c>
      <c r="L792" s="2">
        <v>1214</v>
      </c>
      <c r="M792">
        <v>0.1</v>
      </c>
      <c r="N792" s="2">
        <v>874.6</v>
      </c>
      <c r="O792" s="2">
        <v>16389</v>
      </c>
      <c r="P792" s="2">
        <v>13119</v>
      </c>
      <c r="Q792" s="2">
        <v>3270</v>
      </c>
      <c r="R792">
        <v>0</v>
      </c>
      <c r="S792" s="2" t="str">
        <f>TEXT(data[[#This Row],[Date]],"mmm yyyy")</f>
        <v>Nov 2024</v>
      </c>
      <c r="T792" s="8">
        <f>data[[#This Row],[Profit]]/data[[#This Row],[Revenue]]</f>
        <v>0.19952407102324729</v>
      </c>
    </row>
    <row r="793" spans="1:20" x14ac:dyDescent="0.3">
      <c r="A793">
        <v>10791</v>
      </c>
      <c r="B793" t="s">
        <v>191</v>
      </c>
      <c r="C793" t="s">
        <v>608</v>
      </c>
      <c r="D793" t="s">
        <v>618</v>
      </c>
      <c r="E793" t="s">
        <v>628</v>
      </c>
      <c r="F793" t="s">
        <v>1392</v>
      </c>
      <c r="G793" t="s">
        <v>1764</v>
      </c>
      <c r="H793" t="s">
        <v>1768</v>
      </c>
      <c r="I793" t="s">
        <v>1774</v>
      </c>
      <c r="J793" t="s">
        <v>1776</v>
      </c>
      <c r="K793">
        <v>9</v>
      </c>
      <c r="L793" s="2">
        <v>1394</v>
      </c>
      <c r="M793">
        <v>0.2</v>
      </c>
      <c r="N793" s="2">
        <v>830.05</v>
      </c>
      <c r="O793" s="2">
        <v>10036.799999999999</v>
      </c>
      <c r="P793" s="2">
        <v>7470.45</v>
      </c>
      <c r="Q793" s="2">
        <v>2566.35</v>
      </c>
      <c r="R793">
        <v>1</v>
      </c>
      <c r="S793" s="2" t="str">
        <f>TEXT(data[[#This Row],[Date]],"mmm yyyy")</f>
        <v>Oct 2024</v>
      </c>
      <c r="T793" s="8">
        <f>data[[#This Row],[Profit]]/data[[#This Row],[Revenue]]</f>
        <v>0.25569404591104733</v>
      </c>
    </row>
    <row r="794" spans="1:20" x14ac:dyDescent="0.3">
      <c r="A794">
        <v>10792</v>
      </c>
      <c r="B794" t="s">
        <v>508</v>
      </c>
      <c r="C794" t="s">
        <v>609</v>
      </c>
      <c r="D794" t="s">
        <v>619</v>
      </c>
      <c r="E794" t="s">
        <v>626</v>
      </c>
      <c r="F794" t="s">
        <v>1393</v>
      </c>
      <c r="G794" t="s">
        <v>1761</v>
      </c>
      <c r="H794" t="s">
        <v>1768</v>
      </c>
      <c r="I794" t="s">
        <v>1774</v>
      </c>
      <c r="J794" t="s">
        <v>1778</v>
      </c>
      <c r="K794">
        <v>1</v>
      </c>
      <c r="L794" s="2">
        <v>1028</v>
      </c>
      <c r="M794">
        <v>0.1</v>
      </c>
      <c r="N794" s="2">
        <v>515</v>
      </c>
      <c r="O794" s="2">
        <v>925.2</v>
      </c>
      <c r="P794" s="2">
        <v>515</v>
      </c>
      <c r="Q794" s="2">
        <v>410.2</v>
      </c>
      <c r="R794">
        <v>1</v>
      </c>
      <c r="S794" s="2" t="str">
        <f>TEXT(data[[#This Row],[Date]],"mmm yyyy")</f>
        <v>Dec 2024</v>
      </c>
      <c r="T794" s="8">
        <f>data[[#This Row],[Profit]]/data[[#This Row],[Revenue]]</f>
        <v>0.44336359706009509</v>
      </c>
    </row>
    <row r="795" spans="1:20" x14ac:dyDescent="0.3">
      <c r="A795">
        <v>10793</v>
      </c>
      <c r="B795" t="s">
        <v>213</v>
      </c>
      <c r="C795" t="s">
        <v>606</v>
      </c>
      <c r="D795" t="s">
        <v>620</v>
      </c>
      <c r="E795" t="s">
        <v>627</v>
      </c>
      <c r="F795" t="s">
        <v>1394</v>
      </c>
      <c r="G795" t="s">
        <v>1763</v>
      </c>
      <c r="H795" t="s">
        <v>1767</v>
      </c>
      <c r="I795" t="s">
        <v>1775</v>
      </c>
      <c r="J795" t="s">
        <v>1776</v>
      </c>
      <c r="K795">
        <v>4</v>
      </c>
      <c r="L795" s="2">
        <v>176</v>
      </c>
      <c r="M795">
        <v>0.15</v>
      </c>
      <c r="N795" s="2">
        <v>99.75</v>
      </c>
      <c r="O795" s="2">
        <v>598.4</v>
      </c>
      <c r="P795" s="2">
        <v>399</v>
      </c>
      <c r="Q795" s="2">
        <v>199.4</v>
      </c>
      <c r="R795">
        <v>0</v>
      </c>
      <c r="S795" s="2" t="str">
        <f>TEXT(data[[#This Row],[Date]],"mmm yyyy")</f>
        <v>Jan 2025</v>
      </c>
      <c r="T795" s="8">
        <f>data[[#This Row],[Profit]]/data[[#This Row],[Revenue]]</f>
        <v>0.33322192513368987</v>
      </c>
    </row>
    <row r="796" spans="1:20" x14ac:dyDescent="0.3">
      <c r="A796">
        <v>10794</v>
      </c>
      <c r="B796" t="s">
        <v>509</v>
      </c>
      <c r="C796" t="s">
        <v>609</v>
      </c>
      <c r="D796" t="s">
        <v>613</v>
      </c>
      <c r="E796" t="s">
        <v>626</v>
      </c>
      <c r="F796" t="s">
        <v>1096</v>
      </c>
      <c r="G796" t="s">
        <v>1766</v>
      </c>
      <c r="H796" t="s">
        <v>1770</v>
      </c>
      <c r="I796" t="s">
        <v>1775</v>
      </c>
      <c r="J796" t="s">
        <v>1779</v>
      </c>
      <c r="K796">
        <v>7</v>
      </c>
      <c r="L796" s="2">
        <v>515</v>
      </c>
      <c r="M796">
        <v>0.15</v>
      </c>
      <c r="N796" s="2">
        <v>343.55</v>
      </c>
      <c r="O796" s="2">
        <v>3064.25</v>
      </c>
      <c r="P796" s="2">
        <v>2404.85</v>
      </c>
      <c r="Q796" s="2">
        <v>659.4</v>
      </c>
      <c r="R796">
        <v>0</v>
      </c>
      <c r="S796" s="2" t="str">
        <f>TEXT(data[[#This Row],[Date]],"mmm yyyy")</f>
        <v>Sep 2024</v>
      </c>
      <c r="T796" s="8">
        <f>data[[#This Row],[Profit]]/data[[#This Row],[Revenue]]</f>
        <v>0.21519131924614504</v>
      </c>
    </row>
    <row r="797" spans="1:20" x14ac:dyDescent="0.3">
      <c r="A797">
        <v>10795</v>
      </c>
      <c r="B797" t="s">
        <v>510</v>
      </c>
      <c r="C797" t="s">
        <v>607</v>
      </c>
      <c r="D797" t="s">
        <v>617</v>
      </c>
      <c r="E797" t="s">
        <v>629</v>
      </c>
      <c r="F797" t="s">
        <v>1395</v>
      </c>
      <c r="G797" t="s">
        <v>1766</v>
      </c>
      <c r="H797" t="s">
        <v>1772</v>
      </c>
      <c r="I797" t="s">
        <v>1774</v>
      </c>
      <c r="J797" t="s">
        <v>1777</v>
      </c>
      <c r="K797">
        <v>20</v>
      </c>
      <c r="L797" s="2">
        <v>740</v>
      </c>
      <c r="M797">
        <v>0.15</v>
      </c>
      <c r="N797" s="2">
        <v>431.93</v>
      </c>
      <c r="O797" s="2">
        <v>12580</v>
      </c>
      <c r="P797" s="2">
        <v>8638.6</v>
      </c>
      <c r="Q797" s="2">
        <v>3941.4</v>
      </c>
      <c r="R797">
        <v>1</v>
      </c>
      <c r="S797" s="2" t="str">
        <f>TEXT(data[[#This Row],[Date]],"mmm yyyy")</f>
        <v>May 2025</v>
      </c>
      <c r="T797" s="8">
        <f>data[[#This Row],[Profit]]/data[[#This Row],[Revenue]]</f>
        <v>0.3133068362480127</v>
      </c>
    </row>
    <row r="798" spans="1:20" x14ac:dyDescent="0.3">
      <c r="A798">
        <v>10796</v>
      </c>
      <c r="B798" t="s">
        <v>143</v>
      </c>
      <c r="C798" t="s">
        <v>607</v>
      </c>
      <c r="D798" t="s">
        <v>611</v>
      </c>
      <c r="E798" t="s">
        <v>626</v>
      </c>
      <c r="F798" t="s">
        <v>1396</v>
      </c>
      <c r="G798" t="s">
        <v>1759</v>
      </c>
      <c r="H798" t="s">
        <v>1772</v>
      </c>
      <c r="I798" t="s">
        <v>1774</v>
      </c>
      <c r="J798" t="s">
        <v>1779</v>
      </c>
      <c r="K798">
        <v>17</v>
      </c>
      <c r="L798" s="2">
        <v>875</v>
      </c>
      <c r="M798">
        <v>0.05</v>
      </c>
      <c r="N798" s="2">
        <v>561.47</v>
      </c>
      <c r="O798" s="2">
        <v>14131.25</v>
      </c>
      <c r="P798" s="2">
        <v>9544.99</v>
      </c>
      <c r="Q798" s="2">
        <v>4586.26</v>
      </c>
      <c r="R798">
        <v>0</v>
      </c>
      <c r="S798" s="2" t="str">
        <f>TEXT(data[[#This Row],[Date]],"mmm yyyy")</f>
        <v>Jul 2024</v>
      </c>
      <c r="T798" s="8">
        <f>data[[#This Row],[Profit]]/data[[#This Row],[Revenue]]</f>
        <v>0.32454736842105264</v>
      </c>
    </row>
    <row r="799" spans="1:20" x14ac:dyDescent="0.3">
      <c r="A799">
        <v>10797</v>
      </c>
      <c r="B799" t="s">
        <v>136</v>
      </c>
      <c r="C799" t="s">
        <v>608</v>
      </c>
      <c r="D799" t="s">
        <v>618</v>
      </c>
      <c r="E799" t="s">
        <v>626</v>
      </c>
      <c r="F799" t="s">
        <v>1397</v>
      </c>
      <c r="G799" t="s">
        <v>1763</v>
      </c>
      <c r="H799" t="s">
        <v>1768</v>
      </c>
      <c r="I799" t="s">
        <v>1775</v>
      </c>
      <c r="J799" t="s">
        <v>1776</v>
      </c>
      <c r="K799">
        <v>10</v>
      </c>
      <c r="L799" s="2">
        <v>846</v>
      </c>
      <c r="M799">
        <v>0.15</v>
      </c>
      <c r="N799" s="2">
        <v>584.38</v>
      </c>
      <c r="O799" s="2">
        <v>7191</v>
      </c>
      <c r="P799" s="2">
        <v>5843.8</v>
      </c>
      <c r="Q799" s="2">
        <v>1347.2</v>
      </c>
      <c r="R799">
        <v>0</v>
      </c>
      <c r="S799" s="2" t="str">
        <f>TEXT(data[[#This Row],[Date]],"mmm yyyy")</f>
        <v>Jan 2025</v>
      </c>
      <c r="T799" s="8">
        <f>data[[#This Row],[Profit]]/data[[#This Row],[Revenue]]</f>
        <v>0.18734529272701989</v>
      </c>
    </row>
    <row r="800" spans="1:20" x14ac:dyDescent="0.3">
      <c r="A800">
        <v>10798</v>
      </c>
      <c r="B800" t="s">
        <v>382</v>
      </c>
      <c r="C800" t="s">
        <v>607</v>
      </c>
      <c r="D800" t="s">
        <v>611</v>
      </c>
      <c r="E800" t="s">
        <v>628</v>
      </c>
      <c r="F800" t="s">
        <v>1398</v>
      </c>
      <c r="G800" t="s">
        <v>1765</v>
      </c>
      <c r="H800" t="s">
        <v>1769</v>
      </c>
      <c r="I800" t="s">
        <v>1773</v>
      </c>
      <c r="J800" t="s">
        <v>1779</v>
      </c>
      <c r="K800">
        <v>10</v>
      </c>
      <c r="L800" s="2">
        <v>406</v>
      </c>
      <c r="M800">
        <v>0</v>
      </c>
      <c r="N800" s="2">
        <v>240.41</v>
      </c>
      <c r="O800" s="2">
        <v>4060</v>
      </c>
      <c r="P800" s="2">
        <v>2404.1</v>
      </c>
      <c r="Q800" s="2">
        <v>1655.9</v>
      </c>
      <c r="R800">
        <v>0</v>
      </c>
      <c r="S800" s="2" t="str">
        <f>TEXT(data[[#This Row],[Date]],"mmm yyyy")</f>
        <v>Dec 2024</v>
      </c>
      <c r="T800" s="8">
        <f>data[[#This Row],[Profit]]/data[[#This Row],[Revenue]]</f>
        <v>0.40785714285714286</v>
      </c>
    </row>
    <row r="801" spans="1:20" x14ac:dyDescent="0.3">
      <c r="A801">
        <v>10799</v>
      </c>
      <c r="B801" t="s">
        <v>408</v>
      </c>
      <c r="C801" t="s">
        <v>607</v>
      </c>
      <c r="D801" t="s">
        <v>617</v>
      </c>
      <c r="E801" t="s">
        <v>626</v>
      </c>
      <c r="F801" t="s">
        <v>1399</v>
      </c>
      <c r="G801" t="s">
        <v>1765</v>
      </c>
      <c r="H801" t="s">
        <v>1767</v>
      </c>
      <c r="I801" t="s">
        <v>1773</v>
      </c>
      <c r="J801" t="s">
        <v>1779</v>
      </c>
      <c r="K801">
        <v>20</v>
      </c>
      <c r="L801" s="2">
        <v>235</v>
      </c>
      <c r="M801">
        <v>0.1</v>
      </c>
      <c r="N801" s="2">
        <v>134.91999999999999</v>
      </c>
      <c r="O801" s="2">
        <v>4230</v>
      </c>
      <c r="P801" s="2">
        <v>2698.4</v>
      </c>
      <c r="Q801" s="2">
        <v>1531.6</v>
      </c>
      <c r="R801">
        <v>1</v>
      </c>
      <c r="S801" s="2" t="str">
        <f>TEXT(data[[#This Row],[Date]],"mmm yyyy")</f>
        <v>Feb 2025</v>
      </c>
      <c r="T801" s="8">
        <f>data[[#This Row],[Profit]]/data[[#This Row],[Revenue]]</f>
        <v>0.36208037825059097</v>
      </c>
    </row>
    <row r="802" spans="1:20" x14ac:dyDescent="0.3">
      <c r="A802">
        <v>10800</v>
      </c>
      <c r="B802" t="s">
        <v>125</v>
      </c>
      <c r="C802" t="s">
        <v>607</v>
      </c>
      <c r="D802" t="s">
        <v>611</v>
      </c>
      <c r="E802" t="s">
        <v>626</v>
      </c>
      <c r="F802" t="s">
        <v>1400</v>
      </c>
      <c r="G802" t="s">
        <v>1766</v>
      </c>
      <c r="H802" t="s">
        <v>1770</v>
      </c>
      <c r="I802" t="s">
        <v>1774</v>
      </c>
      <c r="J802" t="s">
        <v>1779</v>
      </c>
      <c r="K802">
        <v>10</v>
      </c>
      <c r="L802" s="2">
        <v>852</v>
      </c>
      <c r="M802">
        <v>0</v>
      </c>
      <c r="N802" s="2">
        <v>623.61</v>
      </c>
      <c r="O802" s="2">
        <v>8520</v>
      </c>
      <c r="P802" s="2">
        <v>6236.1</v>
      </c>
      <c r="Q802" s="2">
        <v>2283.9</v>
      </c>
      <c r="R802">
        <v>0</v>
      </c>
      <c r="S802" s="2" t="str">
        <f>TEXT(data[[#This Row],[Date]],"mmm yyyy")</f>
        <v>May 2025</v>
      </c>
      <c r="T802" s="8">
        <f>data[[#This Row],[Profit]]/data[[#This Row],[Revenue]]</f>
        <v>0.26806338028169013</v>
      </c>
    </row>
    <row r="803" spans="1:20" x14ac:dyDescent="0.3">
      <c r="A803">
        <v>10801</v>
      </c>
      <c r="B803" t="s">
        <v>20</v>
      </c>
      <c r="C803" t="s">
        <v>609</v>
      </c>
      <c r="D803" t="s">
        <v>613</v>
      </c>
      <c r="E803" t="s">
        <v>628</v>
      </c>
      <c r="F803" t="s">
        <v>1401</v>
      </c>
      <c r="G803" t="s">
        <v>1759</v>
      </c>
      <c r="H803" t="s">
        <v>1770</v>
      </c>
      <c r="I803" t="s">
        <v>1773</v>
      </c>
      <c r="J803" t="s">
        <v>1776</v>
      </c>
      <c r="K803">
        <v>8</v>
      </c>
      <c r="L803" s="2">
        <v>705</v>
      </c>
      <c r="M803">
        <v>0.15</v>
      </c>
      <c r="N803" s="2">
        <v>369</v>
      </c>
      <c r="O803" s="2">
        <v>4794</v>
      </c>
      <c r="P803" s="2">
        <v>2952</v>
      </c>
      <c r="Q803" s="2">
        <v>1842</v>
      </c>
      <c r="R803">
        <v>0</v>
      </c>
      <c r="S803" s="2" t="str">
        <f>TEXT(data[[#This Row],[Date]],"mmm yyyy")</f>
        <v>Apr 2024</v>
      </c>
      <c r="T803" s="8">
        <f>data[[#This Row],[Profit]]/data[[#This Row],[Revenue]]</f>
        <v>0.38423028785982477</v>
      </c>
    </row>
    <row r="804" spans="1:20" x14ac:dyDescent="0.3">
      <c r="A804">
        <v>10802</v>
      </c>
      <c r="B804" t="s">
        <v>443</v>
      </c>
      <c r="C804" t="s">
        <v>606</v>
      </c>
      <c r="D804" t="s">
        <v>625</v>
      </c>
      <c r="E804" t="s">
        <v>628</v>
      </c>
      <c r="F804" t="s">
        <v>1402</v>
      </c>
      <c r="G804" t="s">
        <v>1761</v>
      </c>
      <c r="H804" t="s">
        <v>1770</v>
      </c>
      <c r="I804" t="s">
        <v>1774</v>
      </c>
      <c r="J804" t="s">
        <v>1776</v>
      </c>
      <c r="K804">
        <v>6</v>
      </c>
      <c r="L804" s="2">
        <v>880</v>
      </c>
      <c r="M804">
        <v>0</v>
      </c>
      <c r="N804" s="2">
        <v>586.67999999999995</v>
      </c>
      <c r="O804" s="2">
        <v>5280</v>
      </c>
      <c r="P804" s="2">
        <v>3520.08</v>
      </c>
      <c r="Q804" s="2">
        <v>1759.92</v>
      </c>
      <c r="R804">
        <v>0</v>
      </c>
      <c r="S804" s="2" t="str">
        <f>TEXT(data[[#This Row],[Date]],"mmm yyyy")</f>
        <v>Apr 2025</v>
      </c>
      <c r="T804" s="8">
        <f>data[[#This Row],[Profit]]/data[[#This Row],[Revenue]]</f>
        <v>0.33331818181818185</v>
      </c>
    </row>
    <row r="805" spans="1:20" x14ac:dyDescent="0.3">
      <c r="A805">
        <v>10803</v>
      </c>
      <c r="B805" t="s">
        <v>511</v>
      </c>
      <c r="C805" t="s">
        <v>606</v>
      </c>
      <c r="D805" t="s">
        <v>625</v>
      </c>
      <c r="E805" t="s">
        <v>626</v>
      </c>
      <c r="F805" t="s">
        <v>1403</v>
      </c>
      <c r="G805" t="s">
        <v>1765</v>
      </c>
      <c r="H805" t="s">
        <v>1767</v>
      </c>
      <c r="I805" t="s">
        <v>1775</v>
      </c>
      <c r="J805" t="s">
        <v>1779</v>
      </c>
      <c r="K805">
        <v>16</v>
      </c>
      <c r="L805" s="2">
        <v>277</v>
      </c>
      <c r="M805">
        <v>0.2</v>
      </c>
      <c r="N805" s="2">
        <v>151.46</v>
      </c>
      <c r="O805" s="2">
        <v>3545.6</v>
      </c>
      <c r="P805" s="2">
        <v>2423.36</v>
      </c>
      <c r="Q805" s="2">
        <v>1122.24</v>
      </c>
      <c r="R805">
        <v>0</v>
      </c>
      <c r="S805" s="2" t="str">
        <f>TEXT(data[[#This Row],[Date]],"mmm yyyy")</f>
        <v>Apr 2025</v>
      </c>
      <c r="T805" s="8">
        <f>data[[#This Row],[Profit]]/data[[#This Row],[Revenue]]</f>
        <v>0.31651624548736462</v>
      </c>
    </row>
    <row r="806" spans="1:20" x14ac:dyDescent="0.3">
      <c r="A806">
        <v>10804</v>
      </c>
      <c r="B806" t="s">
        <v>117</v>
      </c>
      <c r="C806" t="s">
        <v>607</v>
      </c>
      <c r="D806" t="s">
        <v>621</v>
      </c>
      <c r="E806" t="s">
        <v>627</v>
      </c>
      <c r="F806" t="s">
        <v>1404</v>
      </c>
      <c r="G806" t="s">
        <v>1760</v>
      </c>
      <c r="H806" t="s">
        <v>1769</v>
      </c>
      <c r="I806" t="s">
        <v>1774</v>
      </c>
      <c r="J806" t="s">
        <v>1778</v>
      </c>
      <c r="K806">
        <v>18</v>
      </c>
      <c r="L806" s="2">
        <v>386</v>
      </c>
      <c r="M806">
        <v>0.15</v>
      </c>
      <c r="N806" s="2">
        <v>224.89</v>
      </c>
      <c r="O806" s="2">
        <v>5905.8</v>
      </c>
      <c r="P806" s="2">
        <v>4048.02</v>
      </c>
      <c r="Q806" s="2">
        <v>1857.78</v>
      </c>
      <c r="R806">
        <v>0</v>
      </c>
      <c r="S806" s="2" t="str">
        <f>TEXT(data[[#This Row],[Date]],"mmm yyyy")</f>
        <v>Dec 2025</v>
      </c>
      <c r="T806" s="8">
        <f>data[[#This Row],[Profit]]/data[[#This Row],[Revenue]]</f>
        <v>0.31456872904602257</v>
      </c>
    </row>
    <row r="807" spans="1:20" x14ac:dyDescent="0.3">
      <c r="A807">
        <v>10805</v>
      </c>
      <c r="B807" t="s">
        <v>40</v>
      </c>
      <c r="C807" t="s">
        <v>609</v>
      </c>
      <c r="D807" t="s">
        <v>622</v>
      </c>
      <c r="E807" t="s">
        <v>627</v>
      </c>
      <c r="F807" t="s">
        <v>1405</v>
      </c>
      <c r="G807" t="s">
        <v>1764</v>
      </c>
      <c r="H807" t="s">
        <v>1770</v>
      </c>
      <c r="I807" t="s">
        <v>1773</v>
      </c>
      <c r="J807" t="s">
        <v>1779</v>
      </c>
      <c r="K807">
        <v>6</v>
      </c>
      <c r="L807" s="2">
        <v>739</v>
      </c>
      <c r="M807">
        <v>0.2</v>
      </c>
      <c r="N807" s="2">
        <v>439.42</v>
      </c>
      <c r="O807" s="2">
        <v>3547.2</v>
      </c>
      <c r="P807" s="2">
        <v>2636.52</v>
      </c>
      <c r="Q807" s="2">
        <v>910.68</v>
      </c>
      <c r="R807">
        <v>0</v>
      </c>
      <c r="S807" s="2" t="str">
        <f>TEXT(data[[#This Row],[Date]],"mmm yyyy")</f>
        <v>Dec 2025</v>
      </c>
      <c r="T807" s="8">
        <f>data[[#This Row],[Profit]]/data[[#This Row],[Revenue]]</f>
        <v>0.25673207036535861</v>
      </c>
    </row>
    <row r="808" spans="1:20" x14ac:dyDescent="0.3">
      <c r="A808">
        <v>10806</v>
      </c>
      <c r="B808" t="s">
        <v>468</v>
      </c>
      <c r="C808" t="s">
        <v>609</v>
      </c>
      <c r="D808" t="s">
        <v>613</v>
      </c>
      <c r="E808" t="s">
        <v>628</v>
      </c>
      <c r="F808" t="s">
        <v>1406</v>
      </c>
      <c r="G808" t="s">
        <v>1759</v>
      </c>
      <c r="H808" t="s">
        <v>1770</v>
      </c>
      <c r="I808" t="s">
        <v>1775</v>
      </c>
      <c r="J808" t="s">
        <v>1776</v>
      </c>
      <c r="K808">
        <v>11</v>
      </c>
      <c r="L808" s="2">
        <v>770</v>
      </c>
      <c r="M808">
        <v>0.05</v>
      </c>
      <c r="N808" s="2">
        <v>412.91</v>
      </c>
      <c r="O808" s="2">
        <v>8046.5</v>
      </c>
      <c r="P808" s="2">
        <v>4542.01</v>
      </c>
      <c r="Q808" s="2">
        <v>3504.49</v>
      </c>
      <c r="R808">
        <v>0</v>
      </c>
      <c r="S808" s="2" t="str">
        <f>TEXT(data[[#This Row],[Date]],"mmm yyyy")</f>
        <v>Aug 2025</v>
      </c>
      <c r="T808" s="8">
        <f>data[[#This Row],[Profit]]/data[[#This Row],[Revenue]]</f>
        <v>0.43552973342447027</v>
      </c>
    </row>
    <row r="809" spans="1:20" x14ac:dyDescent="0.3">
      <c r="A809">
        <v>10807</v>
      </c>
      <c r="B809" t="s">
        <v>260</v>
      </c>
      <c r="C809" t="s">
        <v>608</v>
      </c>
      <c r="D809" t="s">
        <v>614</v>
      </c>
      <c r="E809" t="s">
        <v>629</v>
      </c>
      <c r="F809" t="s">
        <v>1407</v>
      </c>
      <c r="G809" t="s">
        <v>1763</v>
      </c>
      <c r="H809" t="s">
        <v>1771</v>
      </c>
      <c r="I809" t="s">
        <v>1773</v>
      </c>
      <c r="J809" t="s">
        <v>1779</v>
      </c>
      <c r="K809">
        <v>2</v>
      </c>
      <c r="L809" s="2">
        <v>413</v>
      </c>
      <c r="M809">
        <v>0</v>
      </c>
      <c r="N809" s="2">
        <v>266.68</v>
      </c>
      <c r="O809" s="2">
        <v>826</v>
      </c>
      <c r="P809" s="2">
        <v>533.36</v>
      </c>
      <c r="Q809" s="2">
        <v>292.64</v>
      </c>
      <c r="R809">
        <v>0</v>
      </c>
      <c r="S809" s="2" t="str">
        <f>TEXT(data[[#This Row],[Date]],"mmm yyyy")</f>
        <v>May 2024</v>
      </c>
      <c r="T809" s="8">
        <f>data[[#This Row],[Profit]]/data[[#This Row],[Revenue]]</f>
        <v>0.35428571428571426</v>
      </c>
    </row>
    <row r="810" spans="1:20" x14ac:dyDescent="0.3">
      <c r="A810">
        <v>10808</v>
      </c>
      <c r="B810" t="s">
        <v>65</v>
      </c>
      <c r="C810" t="s">
        <v>608</v>
      </c>
      <c r="D810" t="s">
        <v>612</v>
      </c>
      <c r="E810" t="s">
        <v>626</v>
      </c>
      <c r="F810" t="s">
        <v>1408</v>
      </c>
      <c r="G810" t="s">
        <v>1762</v>
      </c>
      <c r="H810" t="s">
        <v>1769</v>
      </c>
      <c r="I810" t="s">
        <v>1774</v>
      </c>
      <c r="J810" t="s">
        <v>1779</v>
      </c>
      <c r="K810">
        <v>15</v>
      </c>
      <c r="L810" s="2">
        <v>181</v>
      </c>
      <c r="M810">
        <v>0.2</v>
      </c>
      <c r="N810" s="2">
        <v>95.46</v>
      </c>
      <c r="O810" s="2">
        <v>2172</v>
      </c>
      <c r="P810" s="2">
        <v>1431.9</v>
      </c>
      <c r="Q810" s="2">
        <v>740.1</v>
      </c>
      <c r="R810">
        <v>0</v>
      </c>
      <c r="S810" s="2" t="str">
        <f>TEXT(data[[#This Row],[Date]],"mmm yyyy")</f>
        <v>Jan 2025</v>
      </c>
      <c r="T810" s="8">
        <f>data[[#This Row],[Profit]]/data[[#This Row],[Revenue]]</f>
        <v>0.34074585635359117</v>
      </c>
    </row>
    <row r="811" spans="1:20" x14ac:dyDescent="0.3">
      <c r="A811">
        <v>10809</v>
      </c>
      <c r="B811" t="s">
        <v>512</v>
      </c>
      <c r="C811" t="s">
        <v>608</v>
      </c>
      <c r="D811" t="s">
        <v>615</v>
      </c>
      <c r="E811" t="s">
        <v>629</v>
      </c>
      <c r="F811" t="s">
        <v>1409</v>
      </c>
      <c r="G811" t="s">
        <v>1759</v>
      </c>
      <c r="H811" t="s">
        <v>1771</v>
      </c>
      <c r="I811" t="s">
        <v>1775</v>
      </c>
      <c r="J811" t="s">
        <v>1778</v>
      </c>
      <c r="K811">
        <v>13</v>
      </c>
      <c r="L811" s="2">
        <v>550</v>
      </c>
      <c r="M811">
        <v>0.1</v>
      </c>
      <c r="N811" s="2">
        <v>309.38</v>
      </c>
      <c r="O811" s="2">
        <v>6435</v>
      </c>
      <c r="P811" s="2">
        <v>4021.94</v>
      </c>
      <c r="Q811" s="2">
        <v>2413.06</v>
      </c>
      <c r="R811">
        <v>0</v>
      </c>
      <c r="S811" s="2" t="str">
        <f>TEXT(data[[#This Row],[Date]],"mmm yyyy")</f>
        <v>Aug 2024</v>
      </c>
      <c r="T811" s="8">
        <f>data[[#This Row],[Profit]]/data[[#This Row],[Revenue]]</f>
        <v>0.37498989898989898</v>
      </c>
    </row>
    <row r="812" spans="1:20" x14ac:dyDescent="0.3">
      <c r="A812">
        <v>10810</v>
      </c>
      <c r="B812" t="s">
        <v>153</v>
      </c>
      <c r="C812" t="s">
        <v>607</v>
      </c>
      <c r="D812" t="s">
        <v>617</v>
      </c>
      <c r="E812" t="s">
        <v>626</v>
      </c>
      <c r="F812" t="s">
        <v>1410</v>
      </c>
      <c r="G812" t="s">
        <v>1759</v>
      </c>
      <c r="H812" t="s">
        <v>1767</v>
      </c>
      <c r="I812" t="s">
        <v>1774</v>
      </c>
      <c r="J812" t="s">
        <v>1778</v>
      </c>
      <c r="K812">
        <v>11</v>
      </c>
      <c r="L812" s="2">
        <v>143</v>
      </c>
      <c r="M812">
        <v>0.1</v>
      </c>
      <c r="N812" s="2">
        <v>104.56</v>
      </c>
      <c r="O812" s="2">
        <v>1415.7</v>
      </c>
      <c r="P812" s="2">
        <v>1150.1600000000001</v>
      </c>
      <c r="Q812" s="2">
        <v>265.54000000000002</v>
      </c>
      <c r="R812">
        <v>0</v>
      </c>
      <c r="S812" s="2" t="str">
        <f>TEXT(data[[#This Row],[Date]],"mmm yyyy")</f>
        <v>Mar 2025</v>
      </c>
      <c r="T812" s="8">
        <f>data[[#This Row],[Profit]]/data[[#This Row],[Revenue]]</f>
        <v>0.18756798756798757</v>
      </c>
    </row>
    <row r="813" spans="1:20" x14ac:dyDescent="0.3">
      <c r="A813">
        <v>10811</v>
      </c>
      <c r="B813" t="s">
        <v>513</v>
      </c>
      <c r="C813" t="s">
        <v>607</v>
      </c>
      <c r="D813" t="s">
        <v>621</v>
      </c>
      <c r="E813" t="s">
        <v>628</v>
      </c>
      <c r="F813" t="s">
        <v>1411</v>
      </c>
      <c r="G813" t="s">
        <v>1763</v>
      </c>
      <c r="H813" t="s">
        <v>1768</v>
      </c>
      <c r="I813" t="s">
        <v>1775</v>
      </c>
      <c r="J813" t="s">
        <v>1777</v>
      </c>
      <c r="K813">
        <v>14</v>
      </c>
      <c r="L813" s="2">
        <v>1203</v>
      </c>
      <c r="M813">
        <v>0.1</v>
      </c>
      <c r="N813" s="2">
        <v>696.61</v>
      </c>
      <c r="O813" s="2">
        <v>15157.8</v>
      </c>
      <c r="P813" s="2">
        <v>9752.5400000000009</v>
      </c>
      <c r="Q813" s="2">
        <v>5405.26</v>
      </c>
      <c r="R813">
        <v>0</v>
      </c>
      <c r="S813" s="2" t="str">
        <f>TEXT(data[[#This Row],[Date]],"mmm yyyy")</f>
        <v>Jul 2025</v>
      </c>
      <c r="T813" s="8">
        <f>data[[#This Row],[Profit]]/data[[#This Row],[Revenue]]</f>
        <v>0.35659924263415538</v>
      </c>
    </row>
    <row r="814" spans="1:20" x14ac:dyDescent="0.3">
      <c r="A814">
        <v>10812</v>
      </c>
      <c r="B814" t="s">
        <v>499</v>
      </c>
      <c r="C814" t="s">
        <v>608</v>
      </c>
      <c r="D814" t="s">
        <v>615</v>
      </c>
      <c r="E814" t="s">
        <v>626</v>
      </c>
      <c r="F814" t="s">
        <v>1412</v>
      </c>
      <c r="G814" t="s">
        <v>1765</v>
      </c>
      <c r="H814" t="s">
        <v>1769</v>
      </c>
      <c r="I814" t="s">
        <v>1774</v>
      </c>
      <c r="J814" t="s">
        <v>1778</v>
      </c>
      <c r="K814">
        <v>5</v>
      </c>
      <c r="L814" s="2">
        <v>377</v>
      </c>
      <c r="M814">
        <v>0.1</v>
      </c>
      <c r="N814" s="2">
        <v>279.36</v>
      </c>
      <c r="O814" s="2">
        <v>1696.5</v>
      </c>
      <c r="P814" s="2">
        <v>1396.8</v>
      </c>
      <c r="Q814" s="2">
        <v>299.7</v>
      </c>
      <c r="R814">
        <v>0</v>
      </c>
      <c r="S814" s="2" t="str">
        <f>TEXT(data[[#This Row],[Date]],"mmm yyyy")</f>
        <v>Nov 2024</v>
      </c>
      <c r="T814" s="8">
        <f>data[[#This Row],[Profit]]/data[[#This Row],[Revenue]]</f>
        <v>0.17665782493368701</v>
      </c>
    </row>
    <row r="815" spans="1:20" x14ac:dyDescent="0.3">
      <c r="A815">
        <v>10813</v>
      </c>
      <c r="B815" t="s">
        <v>76</v>
      </c>
      <c r="C815" t="s">
        <v>607</v>
      </c>
      <c r="D815" t="s">
        <v>617</v>
      </c>
      <c r="E815" t="s">
        <v>627</v>
      </c>
      <c r="F815" t="s">
        <v>1105</v>
      </c>
      <c r="G815" t="s">
        <v>1766</v>
      </c>
      <c r="H815" t="s">
        <v>1770</v>
      </c>
      <c r="I815" t="s">
        <v>1775</v>
      </c>
      <c r="J815" t="s">
        <v>1778</v>
      </c>
      <c r="K815">
        <v>13</v>
      </c>
      <c r="L815" s="2">
        <v>970</v>
      </c>
      <c r="M815">
        <v>0.2</v>
      </c>
      <c r="N815" s="2">
        <v>624.86</v>
      </c>
      <c r="O815" s="2">
        <v>10088</v>
      </c>
      <c r="P815" s="2">
        <v>8123.18</v>
      </c>
      <c r="Q815" s="2">
        <v>1964.82</v>
      </c>
      <c r="R815">
        <v>1</v>
      </c>
      <c r="S815" s="2" t="str">
        <f>TEXT(data[[#This Row],[Date]],"mmm yyyy")</f>
        <v>Jul 2024</v>
      </c>
      <c r="T815" s="8">
        <f>data[[#This Row],[Profit]]/data[[#This Row],[Revenue]]</f>
        <v>0.19476804123711339</v>
      </c>
    </row>
    <row r="816" spans="1:20" x14ac:dyDescent="0.3">
      <c r="A816">
        <v>10814</v>
      </c>
      <c r="B816" t="s">
        <v>321</v>
      </c>
      <c r="C816" t="s">
        <v>609</v>
      </c>
      <c r="D816" t="s">
        <v>619</v>
      </c>
      <c r="E816" t="s">
        <v>627</v>
      </c>
      <c r="F816" t="s">
        <v>1413</v>
      </c>
      <c r="G816" t="s">
        <v>1760</v>
      </c>
      <c r="H816" t="s">
        <v>1767</v>
      </c>
      <c r="I816" t="s">
        <v>1774</v>
      </c>
      <c r="J816" t="s">
        <v>1779</v>
      </c>
      <c r="K816">
        <v>16</v>
      </c>
      <c r="L816" s="2">
        <v>214</v>
      </c>
      <c r="M816">
        <v>0.05</v>
      </c>
      <c r="N816" s="2">
        <v>144.69</v>
      </c>
      <c r="O816" s="2">
        <v>3252.8</v>
      </c>
      <c r="P816" s="2">
        <v>2315.04</v>
      </c>
      <c r="Q816" s="2">
        <v>937.76</v>
      </c>
      <c r="R816">
        <v>0</v>
      </c>
      <c r="S816" s="2" t="str">
        <f>TEXT(data[[#This Row],[Date]],"mmm yyyy")</f>
        <v>Jul 2025</v>
      </c>
      <c r="T816" s="8">
        <f>data[[#This Row],[Profit]]/data[[#This Row],[Revenue]]</f>
        <v>0.28829316281357598</v>
      </c>
    </row>
    <row r="817" spans="1:20" x14ac:dyDescent="0.3">
      <c r="A817">
        <v>10815</v>
      </c>
      <c r="B817" t="s">
        <v>514</v>
      </c>
      <c r="C817" t="s">
        <v>607</v>
      </c>
      <c r="D817" t="s">
        <v>617</v>
      </c>
      <c r="E817" t="s">
        <v>628</v>
      </c>
      <c r="F817" t="s">
        <v>1414</v>
      </c>
      <c r="G817" t="s">
        <v>1760</v>
      </c>
      <c r="H817" t="s">
        <v>1771</v>
      </c>
      <c r="I817" t="s">
        <v>1774</v>
      </c>
      <c r="J817" t="s">
        <v>1778</v>
      </c>
      <c r="K817">
        <v>14</v>
      </c>
      <c r="L817" s="2">
        <v>508</v>
      </c>
      <c r="M817">
        <v>0.1</v>
      </c>
      <c r="N817" s="2">
        <v>321.27999999999997</v>
      </c>
      <c r="O817" s="2">
        <v>6400.8</v>
      </c>
      <c r="P817" s="2">
        <v>4497.92</v>
      </c>
      <c r="Q817" s="2">
        <v>1902.88</v>
      </c>
      <c r="R817">
        <v>0</v>
      </c>
      <c r="S817" s="2" t="str">
        <f>TEXT(data[[#This Row],[Date]],"mmm yyyy")</f>
        <v>Aug 2024</v>
      </c>
      <c r="T817" s="8">
        <f>data[[#This Row],[Profit]]/data[[#This Row],[Revenue]]</f>
        <v>0.29728783902012251</v>
      </c>
    </row>
    <row r="818" spans="1:20" x14ac:dyDescent="0.3">
      <c r="A818">
        <v>10816</v>
      </c>
      <c r="B818" t="s">
        <v>504</v>
      </c>
      <c r="C818" t="s">
        <v>606</v>
      </c>
      <c r="D818" t="s">
        <v>616</v>
      </c>
      <c r="E818" t="s">
        <v>627</v>
      </c>
      <c r="F818" t="s">
        <v>1415</v>
      </c>
      <c r="G818" t="s">
        <v>1762</v>
      </c>
      <c r="H818" t="s">
        <v>1769</v>
      </c>
      <c r="I818" t="s">
        <v>1774</v>
      </c>
      <c r="J818" t="s">
        <v>1778</v>
      </c>
      <c r="K818">
        <v>14</v>
      </c>
      <c r="L818" s="2">
        <v>268</v>
      </c>
      <c r="M818">
        <v>0.15</v>
      </c>
      <c r="N818" s="2">
        <v>196.67</v>
      </c>
      <c r="O818" s="2">
        <v>3189.2</v>
      </c>
      <c r="P818" s="2">
        <v>2753.38</v>
      </c>
      <c r="Q818" s="2">
        <v>435.82</v>
      </c>
      <c r="R818">
        <v>0</v>
      </c>
      <c r="S818" s="2" t="str">
        <f>TEXT(data[[#This Row],[Date]],"mmm yyyy")</f>
        <v>Aug 2025</v>
      </c>
      <c r="T818" s="8">
        <f>data[[#This Row],[Profit]]/data[[#This Row],[Revenue]]</f>
        <v>0.13665496049165934</v>
      </c>
    </row>
    <row r="819" spans="1:20" x14ac:dyDescent="0.3">
      <c r="A819">
        <v>10817</v>
      </c>
      <c r="B819" t="s">
        <v>321</v>
      </c>
      <c r="C819" t="s">
        <v>606</v>
      </c>
      <c r="D819" t="s">
        <v>620</v>
      </c>
      <c r="E819" t="s">
        <v>627</v>
      </c>
      <c r="F819" t="s">
        <v>1416</v>
      </c>
      <c r="G819" t="s">
        <v>1765</v>
      </c>
      <c r="H819" t="s">
        <v>1768</v>
      </c>
      <c r="I819" t="s">
        <v>1775</v>
      </c>
      <c r="J819" t="s">
        <v>1776</v>
      </c>
      <c r="K819">
        <v>17</v>
      </c>
      <c r="L819" s="2">
        <v>1048</v>
      </c>
      <c r="M819">
        <v>0.2</v>
      </c>
      <c r="N819" s="2">
        <v>587.97</v>
      </c>
      <c r="O819" s="2">
        <v>14252.8</v>
      </c>
      <c r="P819" s="2">
        <v>9995.49</v>
      </c>
      <c r="Q819" s="2">
        <v>4257.3100000000004</v>
      </c>
      <c r="R819">
        <v>0</v>
      </c>
      <c r="S819" s="2" t="str">
        <f>TEXT(data[[#This Row],[Date]],"mmm yyyy")</f>
        <v>Jul 2025</v>
      </c>
      <c r="T819" s="8">
        <f>data[[#This Row],[Profit]]/data[[#This Row],[Revenue]]</f>
        <v>0.29869990458015272</v>
      </c>
    </row>
    <row r="820" spans="1:20" x14ac:dyDescent="0.3">
      <c r="A820">
        <v>10818</v>
      </c>
      <c r="B820" t="s">
        <v>392</v>
      </c>
      <c r="C820" t="s">
        <v>608</v>
      </c>
      <c r="D820" t="s">
        <v>618</v>
      </c>
      <c r="E820" t="s">
        <v>627</v>
      </c>
      <c r="F820" t="s">
        <v>1417</v>
      </c>
      <c r="G820" t="s">
        <v>1763</v>
      </c>
      <c r="H820" t="s">
        <v>1770</v>
      </c>
      <c r="I820" t="s">
        <v>1774</v>
      </c>
      <c r="J820" t="s">
        <v>1777</v>
      </c>
      <c r="K820">
        <v>13</v>
      </c>
      <c r="L820" s="2">
        <v>757</v>
      </c>
      <c r="M820">
        <v>0</v>
      </c>
      <c r="N820" s="2">
        <v>522.87</v>
      </c>
      <c r="O820" s="2">
        <v>9841</v>
      </c>
      <c r="P820" s="2">
        <v>6797.31</v>
      </c>
      <c r="Q820" s="2">
        <v>3043.69</v>
      </c>
      <c r="R820">
        <v>0</v>
      </c>
      <c r="S820" s="2" t="str">
        <f>TEXT(data[[#This Row],[Date]],"mmm yyyy")</f>
        <v>Dec 2025</v>
      </c>
      <c r="T820" s="8">
        <f>data[[#This Row],[Profit]]/data[[#This Row],[Revenue]]</f>
        <v>0.30928665785997361</v>
      </c>
    </row>
    <row r="821" spans="1:20" x14ac:dyDescent="0.3">
      <c r="A821">
        <v>10819</v>
      </c>
      <c r="B821" t="s">
        <v>425</v>
      </c>
      <c r="C821" t="s">
        <v>606</v>
      </c>
      <c r="D821" t="s">
        <v>610</v>
      </c>
      <c r="E821" t="s">
        <v>628</v>
      </c>
      <c r="F821" t="s">
        <v>1418</v>
      </c>
      <c r="G821" t="s">
        <v>1759</v>
      </c>
      <c r="H821" t="s">
        <v>1770</v>
      </c>
      <c r="I821" t="s">
        <v>1774</v>
      </c>
      <c r="J821" t="s">
        <v>1777</v>
      </c>
      <c r="K821">
        <v>5</v>
      </c>
      <c r="L821" s="2">
        <v>645</v>
      </c>
      <c r="M821">
        <v>0</v>
      </c>
      <c r="N821" s="2">
        <v>479.22</v>
      </c>
      <c r="O821" s="2">
        <v>3225</v>
      </c>
      <c r="P821" s="2">
        <v>2396.1</v>
      </c>
      <c r="Q821" s="2">
        <v>828.9</v>
      </c>
      <c r="R821">
        <v>0</v>
      </c>
      <c r="S821" s="2" t="str">
        <f>TEXT(data[[#This Row],[Date]],"mmm yyyy")</f>
        <v>May 2025</v>
      </c>
      <c r="T821" s="8">
        <f>data[[#This Row],[Profit]]/data[[#This Row],[Revenue]]</f>
        <v>0.25702325581395347</v>
      </c>
    </row>
    <row r="822" spans="1:20" x14ac:dyDescent="0.3">
      <c r="A822">
        <v>10820</v>
      </c>
      <c r="B822" t="s">
        <v>515</v>
      </c>
      <c r="C822" t="s">
        <v>607</v>
      </c>
      <c r="D822" t="s">
        <v>624</v>
      </c>
      <c r="E822" t="s">
        <v>629</v>
      </c>
      <c r="F822" t="s">
        <v>1419</v>
      </c>
      <c r="G822" t="s">
        <v>1759</v>
      </c>
      <c r="H822" t="s">
        <v>1770</v>
      </c>
      <c r="I822" t="s">
        <v>1774</v>
      </c>
      <c r="J822" t="s">
        <v>1777</v>
      </c>
      <c r="K822">
        <v>7</v>
      </c>
      <c r="L822" s="2">
        <v>968</v>
      </c>
      <c r="M822">
        <v>0.1</v>
      </c>
      <c r="N822" s="2">
        <v>589.04999999999995</v>
      </c>
      <c r="O822" s="2">
        <v>6098.4</v>
      </c>
      <c r="P822" s="2">
        <v>4123.3500000000004</v>
      </c>
      <c r="Q822" s="2">
        <v>1975.05</v>
      </c>
      <c r="R822">
        <v>0</v>
      </c>
      <c r="S822" s="2" t="str">
        <f>TEXT(data[[#This Row],[Date]],"mmm yyyy")</f>
        <v>Jun 2025</v>
      </c>
      <c r="T822" s="8">
        <f>data[[#This Row],[Profit]]/data[[#This Row],[Revenue]]</f>
        <v>0.32386363636363635</v>
      </c>
    </row>
    <row r="823" spans="1:20" x14ac:dyDescent="0.3">
      <c r="A823">
        <v>10821</v>
      </c>
      <c r="B823" t="s">
        <v>184</v>
      </c>
      <c r="C823" t="s">
        <v>608</v>
      </c>
      <c r="D823" t="s">
        <v>615</v>
      </c>
      <c r="E823" t="s">
        <v>627</v>
      </c>
      <c r="F823" t="s">
        <v>1420</v>
      </c>
      <c r="G823" t="s">
        <v>1763</v>
      </c>
      <c r="H823" t="s">
        <v>1767</v>
      </c>
      <c r="I823" t="s">
        <v>1775</v>
      </c>
      <c r="J823" t="s">
        <v>1779</v>
      </c>
      <c r="K823">
        <v>10</v>
      </c>
      <c r="L823" s="2">
        <v>116</v>
      </c>
      <c r="M823">
        <v>0.05</v>
      </c>
      <c r="N823" s="2">
        <v>58.82</v>
      </c>
      <c r="O823" s="2">
        <v>1102</v>
      </c>
      <c r="P823" s="2">
        <v>588.20000000000005</v>
      </c>
      <c r="Q823" s="2">
        <v>513.79999999999995</v>
      </c>
      <c r="R823">
        <v>0</v>
      </c>
      <c r="S823" s="2" t="str">
        <f>TEXT(data[[#This Row],[Date]],"mmm yyyy")</f>
        <v>Mar 2025</v>
      </c>
      <c r="T823" s="8">
        <f>data[[#This Row],[Profit]]/data[[#This Row],[Revenue]]</f>
        <v>0.46624319419237747</v>
      </c>
    </row>
    <row r="824" spans="1:20" x14ac:dyDescent="0.3">
      <c r="A824">
        <v>10822</v>
      </c>
      <c r="B824" t="s">
        <v>516</v>
      </c>
      <c r="C824" t="s">
        <v>607</v>
      </c>
      <c r="D824" t="s">
        <v>611</v>
      </c>
      <c r="E824" t="s">
        <v>628</v>
      </c>
      <c r="F824" t="s">
        <v>1421</v>
      </c>
      <c r="G824" t="s">
        <v>1763</v>
      </c>
      <c r="H824" t="s">
        <v>1771</v>
      </c>
      <c r="I824" t="s">
        <v>1774</v>
      </c>
      <c r="J824" t="s">
        <v>1777</v>
      </c>
      <c r="K824">
        <v>1</v>
      </c>
      <c r="L824" s="2">
        <v>373</v>
      </c>
      <c r="M824">
        <v>0</v>
      </c>
      <c r="N824" s="2">
        <v>267.10000000000002</v>
      </c>
      <c r="O824" s="2">
        <v>373</v>
      </c>
      <c r="P824" s="2">
        <v>267.10000000000002</v>
      </c>
      <c r="Q824" s="2">
        <v>105.9</v>
      </c>
      <c r="R824">
        <v>0</v>
      </c>
      <c r="S824" s="2" t="str">
        <f>TEXT(data[[#This Row],[Date]],"mmm yyyy")</f>
        <v>Oct 2024</v>
      </c>
      <c r="T824" s="8">
        <f>data[[#This Row],[Profit]]/data[[#This Row],[Revenue]]</f>
        <v>0.28391420911528154</v>
      </c>
    </row>
    <row r="825" spans="1:20" x14ac:dyDescent="0.3">
      <c r="A825">
        <v>10823</v>
      </c>
      <c r="B825" t="s">
        <v>76</v>
      </c>
      <c r="C825" t="s">
        <v>608</v>
      </c>
      <c r="D825" t="s">
        <v>614</v>
      </c>
      <c r="E825" t="s">
        <v>626</v>
      </c>
      <c r="F825" t="s">
        <v>1422</v>
      </c>
      <c r="G825" t="s">
        <v>1765</v>
      </c>
      <c r="H825" t="s">
        <v>1767</v>
      </c>
      <c r="I825" t="s">
        <v>1775</v>
      </c>
      <c r="J825" t="s">
        <v>1778</v>
      </c>
      <c r="K825">
        <v>9</v>
      </c>
      <c r="L825" s="2">
        <v>285</v>
      </c>
      <c r="M825">
        <v>0.15</v>
      </c>
      <c r="N825" s="2">
        <v>207.67</v>
      </c>
      <c r="O825" s="2">
        <v>2180.25</v>
      </c>
      <c r="P825" s="2">
        <v>1869.03</v>
      </c>
      <c r="Q825" s="2">
        <v>311.22000000000003</v>
      </c>
      <c r="R825">
        <v>0</v>
      </c>
      <c r="S825" s="2" t="str">
        <f>TEXT(data[[#This Row],[Date]],"mmm yyyy")</f>
        <v>Jul 2024</v>
      </c>
      <c r="T825" s="8">
        <f>data[[#This Row],[Profit]]/data[[#This Row],[Revenue]]</f>
        <v>0.1427450980392157</v>
      </c>
    </row>
    <row r="826" spans="1:20" x14ac:dyDescent="0.3">
      <c r="A826">
        <v>10824</v>
      </c>
      <c r="B826" t="s">
        <v>361</v>
      </c>
      <c r="C826" t="s">
        <v>608</v>
      </c>
      <c r="D826" t="s">
        <v>614</v>
      </c>
      <c r="E826" t="s">
        <v>627</v>
      </c>
      <c r="F826" t="s">
        <v>1423</v>
      </c>
      <c r="G826" t="s">
        <v>1765</v>
      </c>
      <c r="H826" t="s">
        <v>1771</v>
      </c>
      <c r="I826" t="s">
        <v>1774</v>
      </c>
      <c r="J826" t="s">
        <v>1779</v>
      </c>
      <c r="K826">
        <v>20</v>
      </c>
      <c r="L826" s="2">
        <v>574</v>
      </c>
      <c r="M826">
        <v>0.15</v>
      </c>
      <c r="N826" s="2">
        <v>346.88</v>
      </c>
      <c r="O826" s="2">
        <v>9758</v>
      </c>
      <c r="P826" s="2">
        <v>6937.6</v>
      </c>
      <c r="Q826" s="2">
        <v>2820.4</v>
      </c>
      <c r="R826">
        <v>0</v>
      </c>
      <c r="S826" s="2" t="str">
        <f>TEXT(data[[#This Row],[Date]],"mmm yyyy")</f>
        <v>Oct 2025</v>
      </c>
      <c r="T826" s="8">
        <f>data[[#This Row],[Profit]]/data[[#This Row],[Revenue]]</f>
        <v>0.28903463824554215</v>
      </c>
    </row>
    <row r="827" spans="1:20" x14ac:dyDescent="0.3">
      <c r="A827">
        <v>10825</v>
      </c>
      <c r="B827" t="s">
        <v>517</v>
      </c>
      <c r="C827" t="s">
        <v>607</v>
      </c>
      <c r="D827" t="s">
        <v>624</v>
      </c>
      <c r="E827" t="s">
        <v>626</v>
      </c>
      <c r="F827" t="s">
        <v>1424</v>
      </c>
      <c r="G827" t="s">
        <v>1762</v>
      </c>
      <c r="H827" t="s">
        <v>1771</v>
      </c>
      <c r="I827" t="s">
        <v>1775</v>
      </c>
      <c r="J827" t="s">
        <v>1777</v>
      </c>
      <c r="K827">
        <v>5</v>
      </c>
      <c r="L827" s="2">
        <v>605</v>
      </c>
      <c r="M827">
        <v>0.1</v>
      </c>
      <c r="N827" s="2">
        <v>407.82</v>
      </c>
      <c r="O827" s="2">
        <v>2722.5</v>
      </c>
      <c r="P827" s="2">
        <v>2039.1</v>
      </c>
      <c r="Q827" s="2">
        <v>683.4</v>
      </c>
      <c r="R827">
        <v>0</v>
      </c>
      <c r="S827" s="2" t="str">
        <f>TEXT(data[[#This Row],[Date]],"mmm yyyy")</f>
        <v>Jan 2024</v>
      </c>
      <c r="T827" s="8">
        <f>data[[#This Row],[Profit]]/data[[#This Row],[Revenue]]</f>
        <v>0.25101928374655647</v>
      </c>
    </row>
    <row r="828" spans="1:20" x14ac:dyDescent="0.3">
      <c r="A828">
        <v>10826</v>
      </c>
      <c r="B828" t="s">
        <v>382</v>
      </c>
      <c r="C828" t="s">
        <v>609</v>
      </c>
      <c r="D828" t="s">
        <v>619</v>
      </c>
      <c r="E828" t="s">
        <v>627</v>
      </c>
      <c r="F828" t="s">
        <v>1425</v>
      </c>
      <c r="G828" t="s">
        <v>1765</v>
      </c>
      <c r="H828" t="s">
        <v>1767</v>
      </c>
      <c r="I828" t="s">
        <v>1774</v>
      </c>
      <c r="J828" t="s">
        <v>1779</v>
      </c>
      <c r="K828">
        <v>5</v>
      </c>
      <c r="L828" s="2">
        <v>245</v>
      </c>
      <c r="M828">
        <v>0</v>
      </c>
      <c r="N828" s="2">
        <v>175.99</v>
      </c>
      <c r="O828" s="2">
        <v>1225</v>
      </c>
      <c r="P828" s="2">
        <v>879.95</v>
      </c>
      <c r="Q828" s="2">
        <v>345.05</v>
      </c>
      <c r="R828">
        <v>0</v>
      </c>
      <c r="S828" s="2" t="str">
        <f>TEXT(data[[#This Row],[Date]],"mmm yyyy")</f>
        <v>Dec 2024</v>
      </c>
      <c r="T828" s="8">
        <f>data[[#This Row],[Profit]]/data[[#This Row],[Revenue]]</f>
        <v>0.28167346938775512</v>
      </c>
    </row>
    <row r="829" spans="1:20" x14ac:dyDescent="0.3">
      <c r="A829">
        <v>10827</v>
      </c>
      <c r="B829" t="s">
        <v>434</v>
      </c>
      <c r="C829" t="s">
        <v>608</v>
      </c>
      <c r="D829" t="s">
        <v>614</v>
      </c>
      <c r="E829" t="s">
        <v>626</v>
      </c>
      <c r="F829" t="s">
        <v>1426</v>
      </c>
      <c r="G829" t="s">
        <v>1762</v>
      </c>
      <c r="H829" t="s">
        <v>1771</v>
      </c>
      <c r="I829" t="s">
        <v>1774</v>
      </c>
      <c r="J829" t="s">
        <v>1777</v>
      </c>
      <c r="K829">
        <v>18</v>
      </c>
      <c r="L829" s="2">
        <v>666</v>
      </c>
      <c r="M829">
        <v>0.15</v>
      </c>
      <c r="N829" s="2">
        <v>403.24</v>
      </c>
      <c r="O829" s="2">
        <v>10189.799999999999</v>
      </c>
      <c r="P829" s="2">
        <v>7258.32</v>
      </c>
      <c r="Q829" s="2">
        <v>2931.48</v>
      </c>
      <c r="R829">
        <v>1</v>
      </c>
      <c r="S829" s="2" t="str">
        <f>TEXT(data[[#This Row],[Date]],"mmm yyyy")</f>
        <v>Dec 2024</v>
      </c>
      <c r="T829" s="8">
        <f>data[[#This Row],[Profit]]/data[[#This Row],[Revenue]]</f>
        <v>0.28768768768768771</v>
      </c>
    </row>
    <row r="830" spans="1:20" x14ac:dyDescent="0.3">
      <c r="A830">
        <v>10828</v>
      </c>
      <c r="B830" t="s">
        <v>124</v>
      </c>
      <c r="C830" t="s">
        <v>606</v>
      </c>
      <c r="D830" t="s">
        <v>625</v>
      </c>
      <c r="E830" t="s">
        <v>627</v>
      </c>
      <c r="F830" t="s">
        <v>1427</v>
      </c>
      <c r="G830" t="s">
        <v>1760</v>
      </c>
      <c r="H830" t="s">
        <v>1768</v>
      </c>
      <c r="I830" t="s">
        <v>1774</v>
      </c>
      <c r="J830" t="s">
        <v>1776</v>
      </c>
      <c r="K830">
        <v>14</v>
      </c>
      <c r="L830" s="2">
        <v>943</v>
      </c>
      <c r="M830">
        <v>0.05</v>
      </c>
      <c r="N830" s="2">
        <v>668.02</v>
      </c>
      <c r="O830" s="2">
        <v>12541.9</v>
      </c>
      <c r="P830" s="2">
        <v>9352.2800000000007</v>
      </c>
      <c r="Q830" s="2">
        <v>3189.62</v>
      </c>
      <c r="R830">
        <v>0</v>
      </c>
      <c r="S830" s="2" t="str">
        <f>TEXT(data[[#This Row],[Date]],"mmm yyyy")</f>
        <v>Sep 2024</v>
      </c>
      <c r="T830" s="8">
        <f>data[[#This Row],[Profit]]/data[[#This Row],[Revenue]]</f>
        <v>0.25431712898364683</v>
      </c>
    </row>
    <row r="831" spans="1:20" x14ac:dyDescent="0.3">
      <c r="A831">
        <v>10829</v>
      </c>
      <c r="B831" t="s">
        <v>396</v>
      </c>
      <c r="C831" t="s">
        <v>608</v>
      </c>
      <c r="D831" t="s">
        <v>615</v>
      </c>
      <c r="E831" t="s">
        <v>628</v>
      </c>
      <c r="F831" t="s">
        <v>1428</v>
      </c>
      <c r="G831" t="s">
        <v>1764</v>
      </c>
      <c r="H831" t="s">
        <v>1772</v>
      </c>
      <c r="I831" t="s">
        <v>1774</v>
      </c>
      <c r="J831" t="s">
        <v>1778</v>
      </c>
      <c r="K831">
        <v>9</v>
      </c>
      <c r="L831" s="2">
        <v>1148</v>
      </c>
      <c r="M831">
        <v>0.05</v>
      </c>
      <c r="N831" s="2">
        <v>589.98</v>
      </c>
      <c r="O831" s="2">
        <v>9815.4</v>
      </c>
      <c r="P831" s="2">
        <v>5309.82</v>
      </c>
      <c r="Q831" s="2">
        <v>4505.58</v>
      </c>
      <c r="R831">
        <v>1</v>
      </c>
      <c r="S831" s="2" t="str">
        <f>TEXT(data[[#This Row],[Date]],"mmm yyyy")</f>
        <v>Dec 2024</v>
      </c>
      <c r="T831" s="8">
        <f>data[[#This Row],[Profit]]/data[[#This Row],[Revenue]]</f>
        <v>0.45903172565560241</v>
      </c>
    </row>
    <row r="832" spans="1:20" x14ac:dyDescent="0.3">
      <c r="A832">
        <v>10830</v>
      </c>
      <c r="B832" t="s">
        <v>262</v>
      </c>
      <c r="C832" t="s">
        <v>609</v>
      </c>
      <c r="D832" t="s">
        <v>622</v>
      </c>
      <c r="E832" t="s">
        <v>629</v>
      </c>
      <c r="F832" t="s">
        <v>1429</v>
      </c>
      <c r="G832" t="s">
        <v>1764</v>
      </c>
      <c r="H832" t="s">
        <v>1770</v>
      </c>
      <c r="I832" t="s">
        <v>1774</v>
      </c>
      <c r="J832" t="s">
        <v>1776</v>
      </c>
      <c r="K832">
        <v>13</v>
      </c>
      <c r="L832" s="2">
        <v>972</v>
      </c>
      <c r="M832">
        <v>0.1</v>
      </c>
      <c r="N832" s="2">
        <v>598.04999999999995</v>
      </c>
      <c r="O832" s="2">
        <v>11372.4</v>
      </c>
      <c r="P832" s="2">
        <v>7774.65</v>
      </c>
      <c r="Q832" s="2">
        <v>3597.75</v>
      </c>
      <c r="R832">
        <v>1</v>
      </c>
      <c r="S832" s="2" t="str">
        <f>TEXT(data[[#This Row],[Date]],"mmm yyyy")</f>
        <v>Mar 2024</v>
      </c>
      <c r="T832" s="8">
        <f>data[[#This Row],[Profit]]/data[[#This Row],[Revenue]]</f>
        <v>0.31635802469135804</v>
      </c>
    </row>
    <row r="833" spans="1:20" x14ac:dyDescent="0.3">
      <c r="A833">
        <v>10831</v>
      </c>
      <c r="B833" t="s">
        <v>436</v>
      </c>
      <c r="C833" t="s">
        <v>606</v>
      </c>
      <c r="D833" t="s">
        <v>620</v>
      </c>
      <c r="E833" t="s">
        <v>628</v>
      </c>
      <c r="F833" t="s">
        <v>1430</v>
      </c>
      <c r="G833" t="s">
        <v>1766</v>
      </c>
      <c r="H833" t="s">
        <v>1769</v>
      </c>
      <c r="I833" t="s">
        <v>1774</v>
      </c>
      <c r="J833" t="s">
        <v>1779</v>
      </c>
      <c r="K833">
        <v>4</v>
      </c>
      <c r="L833" s="2">
        <v>172</v>
      </c>
      <c r="M833">
        <v>0.15</v>
      </c>
      <c r="N833" s="2">
        <v>103.81</v>
      </c>
      <c r="O833" s="2">
        <v>584.79999999999995</v>
      </c>
      <c r="P833" s="2">
        <v>415.24</v>
      </c>
      <c r="Q833" s="2">
        <v>169.56</v>
      </c>
      <c r="R833">
        <v>0</v>
      </c>
      <c r="S833" s="2" t="str">
        <f>TEXT(data[[#This Row],[Date]],"mmm yyyy")</f>
        <v>Jul 2025</v>
      </c>
      <c r="T833" s="8">
        <f>data[[#This Row],[Profit]]/data[[#This Row],[Revenue]]</f>
        <v>0.28994528043775653</v>
      </c>
    </row>
    <row r="834" spans="1:20" x14ac:dyDescent="0.3">
      <c r="A834">
        <v>10832</v>
      </c>
      <c r="B834" t="s">
        <v>36</v>
      </c>
      <c r="C834" t="s">
        <v>609</v>
      </c>
      <c r="D834" t="s">
        <v>622</v>
      </c>
      <c r="E834" t="s">
        <v>627</v>
      </c>
      <c r="F834" t="s">
        <v>1431</v>
      </c>
      <c r="G834" t="s">
        <v>1761</v>
      </c>
      <c r="H834" t="s">
        <v>1769</v>
      </c>
      <c r="I834" t="s">
        <v>1774</v>
      </c>
      <c r="J834" t="s">
        <v>1779</v>
      </c>
      <c r="K834">
        <v>19</v>
      </c>
      <c r="L834" s="2">
        <v>458</v>
      </c>
      <c r="M834">
        <v>0.15</v>
      </c>
      <c r="N834" s="2">
        <v>323.76</v>
      </c>
      <c r="O834" s="2">
        <v>7396.7</v>
      </c>
      <c r="P834" s="2">
        <v>6151.44</v>
      </c>
      <c r="Q834" s="2">
        <v>1245.26</v>
      </c>
      <c r="R834">
        <v>0</v>
      </c>
      <c r="S834" s="2" t="str">
        <f>TEXT(data[[#This Row],[Date]],"mmm yyyy")</f>
        <v>Mar 2025</v>
      </c>
      <c r="T834" s="8">
        <f>data[[#This Row],[Profit]]/data[[#This Row],[Revenue]]</f>
        <v>0.16835345491908554</v>
      </c>
    </row>
    <row r="835" spans="1:20" x14ac:dyDescent="0.3">
      <c r="A835">
        <v>10833</v>
      </c>
      <c r="B835" t="s">
        <v>427</v>
      </c>
      <c r="C835" t="s">
        <v>606</v>
      </c>
      <c r="D835" t="s">
        <v>625</v>
      </c>
      <c r="E835" t="s">
        <v>626</v>
      </c>
      <c r="F835" t="s">
        <v>1432</v>
      </c>
      <c r="G835" t="s">
        <v>1759</v>
      </c>
      <c r="H835" t="s">
        <v>1770</v>
      </c>
      <c r="I835" t="s">
        <v>1774</v>
      </c>
      <c r="J835" t="s">
        <v>1777</v>
      </c>
      <c r="K835">
        <v>19</v>
      </c>
      <c r="L835" s="2">
        <v>419</v>
      </c>
      <c r="M835">
        <v>0.15</v>
      </c>
      <c r="N835" s="2">
        <v>274.18</v>
      </c>
      <c r="O835" s="2">
        <v>6766.85</v>
      </c>
      <c r="P835" s="2">
        <v>5209.42</v>
      </c>
      <c r="Q835" s="2">
        <v>1557.43</v>
      </c>
      <c r="R835">
        <v>1</v>
      </c>
      <c r="S835" s="2" t="str">
        <f>TEXT(data[[#This Row],[Date]],"mmm yyyy")</f>
        <v>Aug 2024</v>
      </c>
      <c r="T835" s="8">
        <f>data[[#This Row],[Profit]]/data[[#This Row],[Revenue]]</f>
        <v>0.23015583321634142</v>
      </c>
    </row>
    <row r="836" spans="1:20" x14ac:dyDescent="0.3">
      <c r="A836">
        <v>10834</v>
      </c>
      <c r="B836" t="s">
        <v>412</v>
      </c>
      <c r="C836" t="s">
        <v>606</v>
      </c>
      <c r="D836" t="s">
        <v>610</v>
      </c>
      <c r="E836" t="s">
        <v>628</v>
      </c>
      <c r="F836" t="s">
        <v>1433</v>
      </c>
      <c r="G836" t="s">
        <v>1759</v>
      </c>
      <c r="H836" t="s">
        <v>1772</v>
      </c>
      <c r="I836" t="s">
        <v>1774</v>
      </c>
      <c r="J836" t="s">
        <v>1779</v>
      </c>
      <c r="K836">
        <v>18</v>
      </c>
      <c r="L836" s="2">
        <v>1033</v>
      </c>
      <c r="M836">
        <v>0.05</v>
      </c>
      <c r="N836" s="2">
        <v>744.62</v>
      </c>
      <c r="O836" s="2">
        <v>17664.3</v>
      </c>
      <c r="P836" s="2">
        <v>13403.16</v>
      </c>
      <c r="Q836" s="2">
        <v>4261.1400000000003</v>
      </c>
      <c r="R836">
        <v>1</v>
      </c>
      <c r="S836" s="2" t="str">
        <f>TEXT(data[[#This Row],[Date]],"mmm yyyy")</f>
        <v>Feb 2024</v>
      </c>
      <c r="T836" s="8">
        <f>data[[#This Row],[Profit]]/data[[#This Row],[Revenue]]</f>
        <v>0.24122891934579918</v>
      </c>
    </row>
    <row r="837" spans="1:20" x14ac:dyDescent="0.3">
      <c r="A837">
        <v>10835</v>
      </c>
      <c r="B837" t="s">
        <v>468</v>
      </c>
      <c r="C837" t="s">
        <v>608</v>
      </c>
      <c r="D837" t="s">
        <v>618</v>
      </c>
      <c r="E837" t="s">
        <v>628</v>
      </c>
      <c r="F837" t="s">
        <v>1434</v>
      </c>
      <c r="G837" t="s">
        <v>1762</v>
      </c>
      <c r="H837" t="s">
        <v>1770</v>
      </c>
      <c r="I837" t="s">
        <v>1774</v>
      </c>
      <c r="J837" t="s">
        <v>1778</v>
      </c>
      <c r="K837">
        <v>12</v>
      </c>
      <c r="L837" s="2">
        <v>447</v>
      </c>
      <c r="M837">
        <v>0.2</v>
      </c>
      <c r="N837" s="2">
        <v>311.43</v>
      </c>
      <c r="O837" s="2">
        <v>4291.2</v>
      </c>
      <c r="P837" s="2">
        <v>3737.16</v>
      </c>
      <c r="Q837" s="2">
        <v>554.04</v>
      </c>
      <c r="R837">
        <v>1</v>
      </c>
      <c r="S837" s="2" t="str">
        <f>TEXT(data[[#This Row],[Date]],"mmm yyyy")</f>
        <v>Aug 2025</v>
      </c>
      <c r="T837" s="8">
        <f>data[[#This Row],[Profit]]/data[[#This Row],[Revenue]]</f>
        <v>0.12911073825503355</v>
      </c>
    </row>
    <row r="838" spans="1:20" x14ac:dyDescent="0.3">
      <c r="A838">
        <v>10836</v>
      </c>
      <c r="B838" t="s">
        <v>488</v>
      </c>
      <c r="C838" t="s">
        <v>606</v>
      </c>
      <c r="D838" t="s">
        <v>616</v>
      </c>
      <c r="E838" t="s">
        <v>626</v>
      </c>
      <c r="F838" t="s">
        <v>1435</v>
      </c>
      <c r="G838" t="s">
        <v>1766</v>
      </c>
      <c r="H838" t="s">
        <v>1772</v>
      </c>
      <c r="I838" t="s">
        <v>1774</v>
      </c>
      <c r="J838" t="s">
        <v>1776</v>
      </c>
      <c r="K838">
        <v>10</v>
      </c>
      <c r="L838" s="2">
        <v>981</v>
      </c>
      <c r="M838">
        <v>0</v>
      </c>
      <c r="N838" s="2">
        <v>537.74</v>
      </c>
      <c r="O838" s="2">
        <v>9810</v>
      </c>
      <c r="P838" s="2">
        <v>5377.4</v>
      </c>
      <c r="Q838" s="2">
        <v>4432.6000000000004</v>
      </c>
      <c r="R838">
        <v>0</v>
      </c>
      <c r="S838" s="2" t="str">
        <f>TEXT(data[[#This Row],[Date]],"mmm yyyy")</f>
        <v>Jan 2025</v>
      </c>
      <c r="T838" s="8">
        <f>data[[#This Row],[Profit]]/data[[#This Row],[Revenue]]</f>
        <v>0.45184505606523961</v>
      </c>
    </row>
    <row r="839" spans="1:20" x14ac:dyDescent="0.3">
      <c r="A839">
        <v>10837</v>
      </c>
      <c r="B839" t="s">
        <v>123</v>
      </c>
      <c r="C839" t="s">
        <v>609</v>
      </c>
      <c r="D839" t="s">
        <v>622</v>
      </c>
      <c r="E839" t="s">
        <v>628</v>
      </c>
      <c r="F839" t="s">
        <v>961</v>
      </c>
      <c r="G839" t="s">
        <v>1761</v>
      </c>
      <c r="H839" t="s">
        <v>1768</v>
      </c>
      <c r="I839" t="s">
        <v>1775</v>
      </c>
      <c r="J839" t="s">
        <v>1779</v>
      </c>
      <c r="K839">
        <v>9</v>
      </c>
      <c r="L839" s="2">
        <v>1144</v>
      </c>
      <c r="M839">
        <v>0.2</v>
      </c>
      <c r="N839" s="2">
        <v>597</v>
      </c>
      <c r="O839" s="2">
        <v>8236.7999999999993</v>
      </c>
      <c r="P839" s="2">
        <v>5373</v>
      </c>
      <c r="Q839" s="2">
        <v>2863.8</v>
      </c>
      <c r="R839">
        <v>0</v>
      </c>
      <c r="S839" s="2" t="str">
        <f>TEXT(data[[#This Row],[Date]],"mmm yyyy")</f>
        <v>Oct 2025</v>
      </c>
      <c r="T839" s="8">
        <f>data[[#This Row],[Profit]]/data[[#This Row],[Revenue]]</f>
        <v>0.34768356643356646</v>
      </c>
    </row>
    <row r="840" spans="1:20" x14ac:dyDescent="0.3">
      <c r="A840">
        <v>10838</v>
      </c>
      <c r="B840" t="s">
        <v>165</v>
      </c>
      <c r="C840" t="s">
        <v>609</v>
      </c>
      <c r="D840" t="s">
        <v>622</v>
      </c>
      <c r="E840" t="s">
        <v>627</v>
      </c>
      <c r="F840" t="s">
        <v>1436</v>
      </c>
      <c r="G840" t="s">
        <v>1763</v>
      </c>
      <c r="H840" t="s">
        <v>1768</v>
      </c>
      <c r="I840" t="s">
        <v>1775</v>
      </c>
      <c r="J840" t="s">
        <v>1778</v>
      </c>
      <c r="K840">
        <v>17</v>
      </c>
      <c r="L840" s="2">
        <v>1258</v>
      </c>
      <c r="M840">
        <v>0.1</v>
      </c>
      <c r="N840" s="2">
        <v>739.51</v>
      </c>
      <c r="O840" s="2">
        <v>19247.400000000001</v>
      </c>
      <c r="P840" s="2">
        <v>12571.67</v>
      </c>
      <c r="Q840" s="2">
        <v>6675.73</v>
      </c>
      <c r="R840">
        <v>0</v>
      </c>
      <c r="S840" s="2" t="str">
        <f>TEXT(data[[#This Row],[Date]],"mmm yyyy")</f>
        <v>Oct 2024</v>
      </c>
      <c r="T840" s="8">
        <f>data[[#This Row],[Profit]]/data[[#This Row],[Revenue]]</f>
        <v>0.34683801448507329</v>
      </c>
    </row>
    <row r="841" spans="1:20" x14ac:dyDescent="0.3">
      <c r="A841">
        <v>10839</v>
      </c>
      <c r="B841" t="s">
        <v>453</v>
      </c>
      <c r="C841" t="s">
        <v>607</v>
      </c>
      <c r="D841" t="s">
        <v>617</v>
      </c>
      <c r="E841" t="s">
        <v>627</v>
      </c>
      <c r="F841" t="s">
        <v>1437</v>
      </c>
      <c r="G841" t="s">
        <v>1763</v>
      </c>
      <c r="H841" t="s">
        <v>1767</v>
      </c>
      <c r="I841" t="s">
        <v>1775</v>
      </c>
      <c r="J841" t="s">
        <v>1778</v>
      </c>
      <c r="K841">
        <v>6</v>
      </c>
      <c r="L841" s="2">
        <v>149</v>
      </c>
      <c r="M841">
        <v>0.1</v>
      </c>
      <c r="N841" s="2">
        <v>84.72</v>
      </c>
      <c r="O841" s="2">
        <v>804.6</v>
      </c>
      <c r="P841" s="2">
        <v>508.32</v>
      </c>
      <c r="Q841" s="2">
        <v>296.27999999999997</v>
      </c>
      <c r="R841">
        <v>0</v>
      </c>
      <c r="S841" s="2" t="str">
        <f>TEXT(data[[#This Row],[Date]],"mmm yyyy")</f>
        <v>Sep 2024</v>
      </c>
      <c r="T841" s="8">
        <f>data[[#This Row],[Profit]]/data[[#This Row],[Revenue]]</f>
        <v>0.3682326621923937</v>
      </c>
    </row>
    <row r="842" spans="1:20" x14ac:dyDescent="0.3">
      <c r="A842">
        <v>10840</v>
      </c>
      <c r="B842" t="s">
        <v>518</v>
      </c>
      <c r="C842" t="s">
        <v>609</v>
      </c>
      <c r="D842" t="s">
        <v>622</v>
      </c>
      <c r="E842" t="s">
        <v>629</v>
      </c>
      <c r="F842" t="s">
        <v>1438</v>
      </c>
      <c r="G842" t="s">
        <v>1762</v>
      </c>
      <c r="H842" t="s">
        <v>1769</v>
      </c>
      <c r="I842" t="s">
        <v>1775</v>
      </c>
      <c r="J842" t="s">
        <v>1776</v>
      </c>
      <c r="K842">
        <v>10</v>
      </c>
      <c r="L842" s="2">
        <v>380</v>
      </c>
      <c r="M842">
        <v>0</v>
      </c>
      <c r="N842" s="2">
        <v>216.62</v>
      </c>
      <c r="O842" s="2">
        <v>3800</v>
      </c>
      <c r="P842" s="2">
        <v>2166.1999999999998</v>
      </c>
      <c r="Q842" s="2">
        <v>1633.8</v>
      </c>
      <c r="R842">
        <v>1</v>
      </c>
      <c r="S842" s="2" t="str">
        <f>TEXT(data[[#This Row],[Date]],"mmm yyyy")</f>
        <v>Jun 2025</v>
      </c>
      <c r="T842" s="8">
        <f>data[[#This Row],[Profit]]/data[[#This Row],[Revenue]]</f>
        <v>0.42994736842105263</v>
      </c>
    </row>
    <row r="843" spans="1:20" x14ac:dyDescent="0.3">
      <c r="A843">
        <v>10841</v>
      </c>
      <c r="B843" t="s">
        <v>136</v>
      </c>
      <c r="C843" t="s">
        <v>606</v>
      </c>
      <c r="D843" t="s">
        <v>610</v>
      </c>
      <c r="E843" t="s">
        <v>626</v>
      </c>
      <c r="F843" t="s">
        <v>1439</v>
      </c>
      <c r="G843" t="s">
        <v>1760</v>
      </c>
      <c r="H843" t="s">
        <v>1768</v>
      </c>
      <c r="I843" t="s">
        <v>1773</v>
      </c>
      <c r="J843" t="s">
        <v>1779</v>
      </c>
      <c r="K843">
        <v>7</v>
      </c>
      <c r="L843" s="2">
        <v>1069</v>
      </c>
      <c r="M843">
        <v>0.2</v>
      </c>
      <c r="N843" s="2">
        <v>641.86</v>
      </c>
      <c r="O843" s="2">
        <v>5986.4</v>
      </c>
      <c r="P843" s="2">
        <v>4493.0200000000004</v>
      </c>
      <c r="Q843" s="2">
        <v>1493.38</v>
      </c>
      <c r="R843">
        <v>0</v>
      </c>
      <c r="S843" s="2" t="str">
        <f>TEXT(data[[#This Row],[Date]],"mmm yyyy")</f>
        <v>Jan 2025</v>
      </c>
      <c r="T843" s="8">
        <f>data[[#This Row],[Profit]]/data[[#This Row],[Revenue]]</f>
        <v>0.24946211412535083</v>
      </c>
    </row>
    <row r="844" spans="1:20" x14ac:dyDescent="0.3">
      <c r="A844">
        <v>10842</v>
      </c>
      <c r="B844" t="s">
        <v>313</v>
      </c>
      <c r="C844" t="s">
        <v>609</v>
      </c>
      <c r="D844" t="s">
        <v>613</v>
      </c>
      <c r="E844" t="s">
        <v>628</v>
      </c>
      <c r="F844" t="s">
        <v>1440</v>
      </c>
      <c r="G844" t="s">
        <v>1760</v>
      </c>
      <c r="H844" t="s">
        <v>1767</v>
      </c>
      <c r="I844" t="s">
        <v>1775</v>
      </c>
      <c r="J844" t="s">
        <v>1778</v>
      </c>
      <c r="K844">
        <v>20</v>
      </c>
      <c r="L844" s="2">
        <v>163</v>
      </c>
      <c r="M844">
        <v>0</v>
      </c>
      <c r="N844" s="2">
        <v>103.5</v>
      </c>
      <c r="O844" s="2">
        <v>3260</v>
      </c>
      <c r="P844" s="2">
        <v>2070</v>
      </c>
      <c r="Q844" s="2">
        <v>1190</v>
      </c>
      <c r="R844">
        <v>0</v>
      </c>
      <c r="S844" s="2" t="str">
        <f>TEXT(data[[#This Row],[Date]],"mmm yyyy")</f>
        <v>May 2025</v>
      </c>
      <c r="T844" s="8">
        <f>data[[#This Row],[Profit]]/data[[#This Row],[Revenue]]</f>
        <v>0.36503067484662577</v>
      </c>
    </row>
    <row r="845" spans="1:20" x14ac:dyDescent="0.3">
      <c r="A845">
        <v>10843</v>
      </c>
      <c r="B845" t="s">
        <v>519</v>
      </c>
      <c r="C845" t="s">
        <v>609</v>
      </c>
      <c r="D845" t="s">
        <v>613</v>
      </c>
      <c r="E845" t="s">
        <v>627</v>
      </c>
      <c r="F845" t="s">
        <v>1441</v>
      </c>
      <c r="G845" t="s">
        <v>1766</v>
      </c>
      <c r="H845" t="s">
        <v>1767</v>
      </c>
      <c r="I845" t="s">
        <v>1773</v>
      </c>
      <c r="J845" t="s">
        <v>1779</v>
      </c>
      <c r="K845">
        <v>3</v>
      </c>
      <c r="L845" s="2">
        <v>273</v>
      </c>
      <c r="M845">
        <v>0.05</v>
      </c>
      <c r="N845" s="2">
        <v>183.1</v>
      </c>
      <c r="O845" s="2">
        <v>778.05</v>
      </c>
      <c r="P845" s="2">
        <v>549.29999999999995</v>
      </c>
      <c r="Q845" s="2">
        <v>228.75</v>
      </c>
      <c r="R845">
        <v>0</v>
      </c>
      <c r="S845" s="2" t="str">
        <f>TEXT(data[[#This Row],[Date]],"mmm yyyy")</f>
        <v>Apr 2025</v>
      </c>
      <c r="T845" s="8">
        <f>data[[#This Row],[Profit]]/data[[#This Row],[Revenue]]</f>
        <v>0.29400424137266246</v>
      </c>
    </row>
    <row r="846" spans="1:20" x14ac:dyDescent="0.3">
      <c r="A846">
        <v>10844</v>
      </c>
      <c r="B846" t="s">
        <v>303</v>
      </c>
      <c r="C846" t="s">
        <v>609</v>
      </c>
      <c r="D846" t="s">
        <v>613</v>
      </c>
      <c r="E846" t="s">
        <v>628</v>
      </c>
      <c r="F846" t="s">
        <v>1442</v>
      </c>
      <c r="G846" t="s">
        <v>1766</v>
      </c>
      <c r="H846" t="s">
        <v>1769</v>
      </c>
      <c r="I846" t="s">
        <v>1774</v>
      </c>
      <c r="J846" t="s">
        <v>1778</v>
      </c>
      <c r="K846">
        <v>11</v>
      </c>
      <c r="L846" s="2">
        <v>286</v>
      </c>
      <c r="M846">
        <v>0.2</v>
      </c>
      <c r="N846" s="2">
        <v>186.42</v>
      </c>
      <c r="O846" s="2">
        <v>2516.8000000000002</v>
      </c>
      <c r="P846" s="2">
        <v>2050.62</v>
      </c>
      <c r="Q846" s="2">
        <v>466.18</v>
      </c>
      <c r="R846">
        <v>0</v>
      </c>
      <c r="S846" s="2" t="str">
        <f>TEXT(data[[#This Row],[Date]],"mmm yyyy")</f>
        <v>Aug 2025</v>
      </c>
      <c r="T846" s="8">
        <f>data[[#This Row],[Profit]]/data[[#This Row],[Revenue]]</f>
        <v>0.18522727272727271</v>
      </c>
    </row>
    <row r="847" spans="1:20" x14ac:dyDescent="0.3">
      <c r="A847">
        <v>10845</v>
      </c>
      <c r="B847" t="s">
        <v>227</v>
      </c>
      <c r="C847" t="s">
        <v>607</v>
      </c>
      <c r="D847" t="s">
        <v>621</v>
      </c>
      <c r="E847" t="s">
        <v>626</v>
      </c>
      <c r="F847" t="s">
        <v>1443</v>
      </c>
      <c r="G847" t="s">
        <v>1766</v>
      </c>
      <c r="H847" t="s">
        <v>1767</v>
      </c>
      <c r="I847" t="s">
        <v>1775</v>
      </c>
      <c r="J847" t="s">
        <v>1778</v>
      </c>
      <c r="K847">
        <v>14</v>
      </c>
      <c r="L847" s="2">
        <v>98</v>
      </c>
      <c r="M847">
        <v>0.1</v>
      </c>
      <c r="N847" s="2">
        <v>58.09</v>
      </c>
      <c r="O847" s="2">
        <v>1234.8</v>
      </c>
      <c r="P847" s="2">
        <v>813.26</v>
      </c>
      <c r="Q847" s="2">
        <v>421.54</v>
      </c>
      <c r="R847">
        <v>0</v>
      </c>
      <c r="S847" s="2" t="str">
        <f>TEXT(data[[#This Row],[Date]],"mmm yyyy")</f>
        <v>Mar 2024</v>
      </c>
      <c r="T847" s="8">
        <f>data[[#This Row],[Profit]]/data[[#This Row],[Revenue]]</f>
        <v>0.34138321995464854</v>
      </c>
    </row>
    <row r="848" spans="1:20" x14ac:dyDescent="0.3">
      <c r="A848">
        <v>10846</v>
      </c>
      <c r="B848" t="s">
        <v>457</v>
      </c>
      <c r="C848" t="s">
        <v>606</v>
      </c>
      <c r="D848" t="s">
        <v>620</v>
      </c>
      <c r="E848" t="s">
        <v>628</v>
      </c>
      <c r="F848" t="s">
        <v>1444</v>
      </c>
      <c r="G848" t="s">
        <v>1766</v>
      </c>
      <c r="H848" t="s">
        <v>1772</v>
      </c>
      <c r="I848" t="s">
        <v>1773</v>
      </c>
      <c r="J848" t="s">
        <v>1777</v>
      </c>
      <c r="K848">
        <v>14</v>
      </c>
      <c r="L848" s="2">
        <v>1045</v>
      </c>
      <c r="M848">
        <v>0.15</v>
      </c>
      <c r="N848" s="2">
        <v>660.01</v>
      </c>
      <c r="O848" s="2">
        <v>12435.5</v>
      </c>
      <c r="P848" s="2">
        <v>9240.14</v>
      </c>
      <c r="Q848" s="2">
        <v>3195.36</v>
      </c>
      <c r="R848">
        <v>1</v>
      </c>
      <c r="S848" s="2" t="str">
        <f>TEXT(data[[#This Row],[Date]],"mmm yyyy")</f>
        <v>Jan 2024</v>
      </c>
      <c r="T848" s="8">
        <f>data[[#This Row],[Profit]]/data[[#This Row],[Revenue]]</f>
        <v>0.25695468618069239</v>
      </c>
    </row>
    <row r="849" spans="1:20" x14ac:dyDescent="0.3">
      <c r="A849">
        <v>10847</v>
      </c>
      <c r="B849" t="s">
        <v>520</v>
      </c>
      <c r="C849" t="s">
        <v>608</v>
      </c>
      <c r="D849" t="s">
        <v>618</v>
      </c>
      <c r="E849" t="s">
        <v>626</v>
      </c>
      <c r="F849" t="s">
        <v>1445</v>
      </c>
      <c r="G849" t="s">
        <v>1764</v>
      </c>
      <c r="H849" t="s">
        <v>1768</v>
      </c>
      <c r="I849" t="s">
        <v>1775</v>
      </c>
      <c r="J849" t="s">
        <v>1776</v>
      </c>
      <c r="K849">
        <v>10</v>
      </c>
      <c r="L849" s="2">
        <v>870</v>
      </c>
      <c r="M849">
        <v>0</v>
      </c>
      <c r="N849" s="2">
        <v>443.82</v>
      </c>
      <c r="O849" s="2">
        <v>8700</v>
      </c>
      <c r="P849" s="2">
        <v>4438.2</v>
      </c>
      <c r="Q849" s="2">
        <v>4261.8</v>
      </c>
      <c r="R849">
        <v>1</v>
      </c>
      <c r="S849" s="2" t="str">
        <f>TEXT(data[[#This Row],[Date]],"mmm yyyy")</f>
        <v>Mar 2024</v>
      </c>
      <c r="T849" s="8">
        <f>data[[#This Row],[Profit]]/data[[#This Row],[Revenue]]</f>
        <v>0.48986206896551726</v>
      </c>
    </row>
    <row r="850" spans="1:20" x14ac:dyDescent="0.3">
      <c r="A850">
        <v>10848</v>
      </c>
      <c r="B850" t="s">
        <v>71</v>
      </c>
      <c r="C850" t="s">
        <v>607</v>
      </c>
      <c r="D850" t="s">
        <v>617</v>
      </c>
      <c r="E850" t="s">
        <v>627</v>
      </c>
      <c r="F850" t="s">
        <v>1446</v>
      </c>
      <c r="G850" t="s">
        <v>1760</v>
      </c>
      <c r="H850" t="s">
        <v>1770</v>
      </c>
      <c r="I850" t="s">
        <v>1774</v>
      </c>
      <c r="J850" t="s">
        <v>1779</v>
      </c>
      <c r="K850">
        <v>18</v>
      </c>
      <c r="L850" s="2">
        <v>523</v>
      </c>
      <c r="M850">
        <v>0.1</v>
      </c>
      <c r="N850" s="2">
        <v>279.66000000000003</v>
      </c>
      <c r="O850" s="2">
        <v>8472.6</v>
      </c>
      <c r="P850" s="2">
        <v>5033.88</v>
      </c>
      <c r="Q850" s="2">
        <v>3438.72</v>
      </c>
      <c r="R850">
        <v>1</v>
      </c>
      <c r="S850" s="2" t="str">
        <f>TEXT(data[[#This Row],[Date]],"mmm yyyy")</f>
        <v>Jan 2025</v>
      </c>
      <c r="T850" s="8">
        <f>data[[#This Row],[Profit]]/data[[#This Row],[Revenue]]</f>
        <v>0.40586360739324406</v>
      </c>
    </row>
    <row r="851" spans="1:20" x14ac:dyDescent="0.3">
      <c r="A851">
        <v>10849</v>
      </c>
      <c r="B851" t="s">
        <v>161</v>
      </c>
      <c r="C851" t="s">
        <v>609</v>
      </c>
      <c r="D851" t="s">
        <v>623</v>
      </c>
      <c r="E851" t="s">
        <v>627</v>
      </c>
      <c r="F851" t="s">
        <v>1447</v>
      </c>
      <c r="G851" t="s">
        <v>1766</v>
      </c>
      <c r="H851" t="s">
        <v>1770</v>
      </c>
      <c r="I851" t="s">
        <v>1773</v>
      </c>
      <c r="J851" t="s">
        <v>1777</v>
      </c>
      <c r="K851">
        <v>2</v>
      </c>
      <c r="L851" s="2">
        <v>795</v>
      </c>
      <c r="M851">
        <v>0.15</v>
      </c>
      <c r="N851" s="2">
        <v>458.05</v>
      </c>
      <c r="O851" s="2">
        <v>1351.5</v>
      </c>
      <c r="P851" s="2">
        <v>916.1</v>
      </c>
      <c r="Q851" s="2">
        <v>435.4</v>
      </c>
      <c r="R851">
        <v>0</v>
      </c>
      <c r="S851" s="2" t="str">
        <f>TEXT(data[[#This Row],[Date]],"mmm yyyy")</f>
        <v>Nov 2025</v>
      </c>
      <c r="T851" s="8">
        <f>data[[#This Row],[Profit]]/data[[#This Row],[Revenue]]</f>
        <v>0.32216056233814278</v>
      </c>
    </row>
    <row r="852" spans="1:20" x14ac:dyDescent="0.3">
      <c r="A852">
        <v>10850</v>
      </c>
      <c r="B852" t="s">
        <v>368</v>
      </c>
      <c r="C852" t="s">
        <v>608</v>
      </c>
      <c r="D852" t="s">
        <v>612</v>
      </c>
      <c r="E852" t="s">
        <v>627</v>
      </c>
      <c r="F852" t="s">
        <v>1448</v>
      </c>
      <c r="G852" t="s">
        <v>1766</v>
      </c>
      <c r="H852" t="s">
        <v>1768</v>
      </c>
      <c r="I852" t="s">
        <v>1774</v>
      </c>
      <c r="J852" t="s">
        <v>1779</v>
      </c>
      <c r="K852">
        <v>9</v>
      </c>
      <c r="L852" s="2">
        <v>1340</v>
      </c>
      <c r="M852">
        <v>0.2</v>
      </c>
      <c r="N852" s="2">
        <v>877.8</v>
      </c>
      <c r="O852" s="2">
        <v>9648</v>
      </c>
      <c r="P852" s="2">
        <v>7900.2</v>
      </c>
      <c r="Q852" s="2">
        <v>1747.8</v>
      </c>
      <c r="R852">
        <v>0</v>
      </c>
      <c r="S852" s="2" t="str">
        <f>TEXT(data[[#This Row],[Date]],"mmm yyyy")</f>
        <v>Apr 2024</v>
      </c>
      <c r="T852" s="8">
        <f>data[[#This Row],[Profit]]/data[[#This Row],[Revenue]]</f>
        <v>0.18115671641791045</v>
      </c>
    </row>
    <row r="853" spans="1:20" x14ac:dyDescent="0.3">
      <c r="A853">
        <v>10851</v>
      </c>
      <c r="B853" t="s">
        <v>322</v>
      </c>
      <c r="C853" t="s">
        <v>607</v>
      </c>
      <c r="D853" t="s">
        <v>624</v>
      </c>
      <c r="E853" t="s">
        <v>629</v>
      </c>
      <c r="F853" t="s">
        <v>1449</v>
      </c>
      <c r="G853" t="s">
        <v>1763</v>
      </c>
      <c r="H853" t="s">
        <v>1771</v>
      </c>
      <c r="I853" t="s">
        <v>1774</v>
      </c>
      <c r="J853" t="s">
        <v>1778</v>
      </c>
      <c r="K853">
        <v>7</v>
      </c>
      <c r="L853" s="2">
        <v>328</v>
      </c>
      <c r="M853">
        <v>0.2</v>
      </c>
      <c r="N853" s="2">
        <v>212.34</v>
      </c>
      <c r="O853" s="2">
        <v>1836.8</v>
      </c>
      <c r="P853" s="2">
        <v>1486.38</v>
      </c>
      <c r="Q853" s="2">
        <v>350.42</v>
      </c>
      <c r="R853">
        <v>0</v>
      </c>
      <c r="S853" s="2" t="str">
        <f>TEXT(data[[#This Row],[Date]],"mmm yyyy")</f>
        <v>Oct 2024</v>
      </c>
      <c r="T853" s="8">
        <f>data[[#This Row],[Profit]]/data[[#This Row],[Revenue]]</f>
        <v>0.19077743902439026</v>
      </c>
    </row>
    <row r="854" spans="1:20" x14ac:dyDescent="0.3">
      <c r="A854">
        <v>10852</v>
      </c>
      <c r="B854" t="s">
        <v>21</v>
      </c>
      <c r="C854" t="s">
        <v>607</v>
      </c>
      <c r="D854" t="s">
        <v>611</v>
      </c>
      <c r="E854" t="s">
        <v>628</v>
      </c>
      <c r="F854" t="s">
        <v>1450</v>
      </c>
      <c r="G854" t="s">
        <v>1764</v>
      </c>
      <c r="H854" t="s">
        <v>1771</v>
      </c>
      <c r="I854" t="s">
        <v>1775</v>
      </c>
      <c r="J854" t="s">
        <v>1777</v>
      </c>
      <c r="K854">
        <v>3</v>
      </c>
      <c r="L854" s="2">
        <v>473</v>
      </c>
      <c r="M854">
        <v>0.1</v>
      </c>
      <c r="N854" s="2">
        <v>290.86</v>
      </c>
      <c r="O854" s="2">
        <v>1277.0999999999999</v>
      </c>
      <c r="P854" s="2">
        <v>872.58</v>
      </c>
      <c r="Q854" s="2">
        <v>404.52</v>
      </c>
      <c r="R854">
        <v>0</v>
      </c>
      <c r="S854" s="2" t="str">
        <f>TEXT(data[[#This Row],[Date]],"mmm yyyy")</f>
        <v>Aug 2025</v>
      </c>
      <c r="T854" s="8">
        <f>data[[#This Row],[Profit]]/data[[#This Row],[Revenue]]</f>
        <v>0.31674888419074465</v>
      </c>
    </row>
    <row r="855" spans="1:20" x14ac:dyDescent="0.3">
      <c r="A855">
        <v>10853</v>
      </c>
      <c r="B855" t="s">
        <v>521</v>
      </c>
      <c r="C855" t="s">
        <v>606</v>
      </c>
      <c r="D855" t="s">
        <v>625</v>
      </c>
      <c r="E855" t="s">
        <v>628</v>
      </c>
      <c r="F855" t="s">
        <v>1451</v>
      </c>
      <c r="G855" t="s">
        <v>1765</v>
      </c>
      <c r="H855" t="s">
        <v>1767</v>
      </c>
      <c r="I855" t="s">
        <v>1775</v>
      </c>
      <c r="J855" t="s">
        <v>1777</v>
      </c>
      <c r="K855">
        <v>8</v>
      </c>
      <c r="L855" s="2">
        <v>246</v>
      </c>
      <c r="M855">
        <v>0.2</v>
      </c>
      <c r="N855" s="2">
        <v>181</v>
      </c>
      <c r="O855" s="2">
        <v>1574.4</v>
      </c>
      <c r="P855" s="2">
        <v>1448</v>
      </c>
      <c r="Q855" s="2">
        <v>126.4</v>
      </c>
      <c r="R855">
        <v>0</v>
      </c>
      <c r="S855" s="2" t="str">
        <f>TEXT(data[[#This Row],[Date]],"mmm yyyy")</f>
        <v>Jul 2024</v>
      </c>
      <c r="T855" s="8">
        <f>data[[#This Row],[Profit]]/data[[#This Row],[Revenue]]</f>
        <v>8.0284552845528448E-2</v>
      </c>
    </row>
    <row r="856" spans="1:20" x14ac:dyDescent="0.3">
      <c r="A856">
        <v>10854</v>
      </c>
      <c r="B856" t="s">
        <v>52</v>
      </c>
      <c r="C856" t="s">
        <v>606</v>
      </c>
      <c r="D856" t="s">
        <v>616</v>
      </c>
      <c r="E856" t="s">
        <v>626</v>
      </c>
      <c r="F856" t="s">
        <v>1452</v>
      </c>
      <c r="G856" t="s">
        <v>1765</v>
      </c>
      <c r="H856" t="s">
        <v>1769</v>
      </c>
      <c r="I856" t="s">
        <v>1775</v>
      </c>
      <c r="J856" t="s">
        <v>1776</v>
      </c>
      <c r="K856">
        <v>3</v>
      </c>
      <c r="L856" s="2">
        <v>443</v>
      </c>
      <c r="M856">
        <v>0</v>
      </c>
      <c r="N856" s="2">
        <v>331.72</v>
      </c>
      <c r="O856" s="2">
        <v>1329</v>
      </c>
      <c r="P856" s="2">
        <v>995.16</v>
      </c>
      <c r="Q856" s="2">
        <v>333.84</v>
      </c>
      <c r="R856">
        <v>0</v>
      </c>
      <c r="S856" s="2" t="str">
        <f>TEXT(data[[#This Row],[Date]],"mmm yyyy")</f>
        <v>Sep 2024</v>
      </c>
      <c r="T856" s="8">
        <f>data[[#This Row],[Profit]]/data[[#This Row],[Revenue]]</f>
        <v>0.25119638826185098</v>
      </c>
    </row>
    <row r="857" spans="1:20" x14ac:dyDescent="0.3">
      <c r="A857">
        <v>10855</v>
      </c>
      <c r="B857" t="s">
        <v>375</v>
      </c>
      <c r="C857" t="s">
        <v>607</v>
      </c>
      <c r="D857" t="s">
        <v>624</v>
      </c>
      <c r="E857" t="s">
        <v>628</v>
      </c>
      <c r="F857" t="s">
        <v>1453</v>
      </c>
      <c r="G857" t="s">
        <v>1766</v>
      </c>
      <c r="H857" t="s">
        <v>1769</v>
      </c>
      <c r="I857" t="s">
        <v>1773</v>
      </c>
      <c r="J857" t="s">
        <v>1779</v>
      </c>
      <c r="K857">
        <v>20</v>
      </c>
      <c r="L857" s="2">
        <v>186</v>
      </c>
      <c r="M857">
        <v>0</v>
      </c>
      <c r="N857" s="2">
        <v>99.4</v>
      </c>
      <c r="O857" s="2">
        <v>3720</v>
      </c>
      <c r="P857" s="2">
        <v>1988</v>
      </c>
      <c r="Q857" s="2">
        <v>1732</v>
      </c>
      <c r="R857">
        <v>0</v>
      </c>
      <c r="S857" s="2" t="str">
        <f>TEXT(data[[#This Row],[Date]],"mmm yyyy")</f>
        <v>Dec 2025</v>
      </c>
      <c r="T857" s="8">
        <f>data[[#This Row],[Profit]]/data[[#This Row],[Revenue]]</f>
        <v>0.46559139784946235</v>
      </c>
    </row>
    <row r="858" spans="1:20" x14ac:dyDescent="0.3">
      <c r="A858">
        <v>10856</v>
      </c>
      <c r="B858" t="s">
        <v>306</v>
      </c>
      <c r="C858" t="s">
        <v>606</v>
      </c>
      <c r="D858" t="s">
        <v>620</v>
      </c>
      <c r="E858" t="s">
        <v>629</v>
      </c>
      <c r="F858" t="s">
        <v>1454</v>
      </c>
      <c r="G858" t="s">
        <v>1765</v>
      </c>
      <c r="H858" t="s">
        <v>1772</v>
      </c>
      <c r="I858" t="s">
        <v>1773</v>
      </c>
      <c r="J858" t="s">
        <v>1776</v>
      </c>
      <c r="K858">
        <v>8</v>
      </c>
      <c r="L858" s="2">
        <v>783</v>
      </c>
      <c r="M858">
        <v>0.15</v>
      </c>
      <c r="N858" s="2">
        <v>542.41</v>
      </c>
      <c r="O858" s="2">
        <v>5324.4</v>
      </c>
      <c r="P858" s="2">
        <v>4339.28</v>
      </c>
      <c r="Q858" s="2">
        <v>985.12</v>
      </c>
      <c r="R858">
        <v>1</v>
      </c>
      <c r="S858" s="2" t="str">
        <f>TEXT(data[[#This Row],[Date]],"mmm yyyy")</f>
        <v>Sep 2024</v>
      </c>
      <c r="T858" s="8">
        <f>data[[#This Row],[Profit]]/data[[#This Row],[Revenue]]</f>
        <v>0.18501990834648036</v>
      </c>
    </row>
    <row r="859" spans="1:20" x14ac:dyDescent="0.3">
      <c r="A859">
        <v>10857</v>
      </c>
      <c r="B859" t="s">
        <v>522</v>
      </c>
      <c r="C859" t="s">
        <v>608</v>
      </c>
      <c r="D859" t="s">
        <v>615</v>
      </c>
      <c r="E859" t="s">
        <v>629</v>
      </c>
      <c r="F859" t="s">
        <v>1455</v>
      </c>
      <c r="G859" t="s">
        <v>1760</v>
      </c>
      <c r="H859" t="s">
        <v>1769</v>
      </c>
      <c r="I859" t="s">
        <v>1773</v>
      </c>
      <c r="J859" t="s">
        <v>1779</v>
      </c>
      <c r="K859">
        <v>3</v>
      </c>
      <c r="L859" s="2">
        <v>267</v>
      </c>
      <c r="M859">
        <v>0.15</v>
      </c>
      <c r="N859" s="2">
        <v>152.61000000000001</v>
      </c>
      <c r="O859" s="2">
        <v>680.85</v>
      </c>
      <c r="P859" s="2">
        <v>457.83</v>
      </c>
      <c r="Q859" s="2">
        <v>223.02</v>
      </c>
      <c r="R859">
        <v>1</v>
      </c>
      <c r="S859" s="2" t="str">
        <f>TEXT(data[[#This Row],[Date]],"mmm yyyy")</f>
        <v>May 2025</v>
      </c>
      <c r="T859" s="8">
        <f>data[[#This Row],[Profit]]/data[[#This Row],[Revenue]]</f>
        <v>0.32756113681427629</v>
      </c>
    </row>
    <row r="860" spans="1:20" x14ac:dyDescent="0.3">
      <c r="A860">
        <v>10858</v>
      </c>
      <c r="B860" t="s">
        <v>475</v>
      </c>
      <c r="C860" t="s">
        <v>606</v>
      </c>
      <c r="D860" t="s">
        <v>610</v>
      </c>
      <c r="E860" t="s">
        <v>629</v>
      </c>
      <c r="F860" t="s">
        <v>1456</v>
      </c>
      <c r="G860" t="s">
        <v>1763</v>
      </c>
      <c r="H860" t="s">
        <v>1768</v>
      </c>
      <c r="I860" t="s">
        <v>1774</v>
      </c>
      <c r="J860" t="s">
        <v>1777</v>
      </c>
      <c r="K860">
        <v>19</v>
      </c>
      <c r="L860" s="2">
        <v>1028</v>
      </c>
      <c r="M860">
        <v>0.2</v>
      </c>
      <c r="N860" s="2">
        <v>738.51</v>
      </c>
      <c r="O860" s="2">
        <v>15625.6</v>
      </c>
      <c r="P860" s="2">
        <v>14031.69</v>
      </c>
      <c r="Q860" s="2">
        <v>1593.91</v>
      </c>
      <c r="R860">
        <v>0</v>
      </c>
      <c r="S860" s="2" t="str">
        <f>TEXT(data[[#This Row],[Date]],"mmm yyyy")</f>
        <v>Jul 2024</v>
      </c>
      <c r="T860" s="8">
        <f>data[[#This Row],[Profit]]/data[[#This Row],[Revenue]]</f>
        <v>0.10200632295719844</v>
      </c>
    </row>
    <row r="861" spans="1:20" x14ac:dyDescent="0.3">
      <c r="A861">
        <v>10859</v>
      </c>
      <c r="B861" t="s">
        <v>435</v>
      </c>
      <c r="C861" t="s">
        <v>606</v>
      </c>
      <c r="D861" t="s">
        <v>620</v>
      </c>
      <c r="E861" t="s">
        <v>626</v>
      </c>
      <c r="F861" t="s">
        <v>1457</v>
      </c>
      <c r="G861" t="s">
        <v>1761</v>
      </c>
      <c r="H861" t="s">
        <v>1771</v>
      </c>
      <c r="I861" t="s">
        <v>1775</v>
      </c>
      <c r="J861" t="s">
        <v>1779</v>
      </c>
      <c r="K861">
        <v>10</v>
      </c>
      <c r="L861" s="2">
        <v>471</v>
      </c>
      <c r="M861">
        <v>0.1</v>
      </c>
      <c r="N861" s="2">
        <v>290.85000000000002</v>
      </c>
      <c r="O861" s="2">
        <v>4239</v>
      </c>
      <c r="P861" s="2">
        <v>2908.5</v>
      </c>
      <c r="Q861" s="2">
        <v>1330.5</v>
      </c>
      <c r="R861">
        <v>0</v>
      </c>
      <c r="S861" s="2" t="str">
        <f>TEXT(data[[#This Row],[Date]],"mmm yyyy")</f>
        <v>Jan 2024</v>
      </c>
      <c r="T861" s="8">
        <f>data[[#This Row],[Profit]]/data[[#This Row],[Revenue]]</f>
        <v>0.31387119603680114</v>
      </c>
    </row>
    <row r="862" spans="1:20" x14ac:dyDescent="0.3">
      <c r="A862">
        <v>10860</v>
      </c>
      <c r="B862" t="s">
        <v>133</v>
      </c>
      <c r="C862" t="s">
        <v>608</v>
      </c>
      <c r="D862" t="s">
        <v>612</v>
      </c>
      <c r="E862" t="s">
        <v>628</v>
      </c>
      <c r="F862" t="s">
        <v>1030</v>
      </c>
      <c r="G862" t="s">
        <v>1762</v>
      </c>
      <c r="H862" t="s">
        <v>1767</v>
      </c>
      <c r="I862" t="s">
        <v>1775</v>
      </c>
      <c r="J862" t="s">
        <v>1778</v>
      </c>
      <c r="K862">
        <v>14</v>
      </c>
      <c r="L862" s="2">
        <v>169</v>
      </c>
      <c r="M862">
        <v>0.2</v>
      </c>
      <c r="N862" s="2">
        <v>122.87</v>
      </c>
      <c r="O862" s="2">
        <v>1892.8</v>
      </c>
      <c r="P862" s="2">
        <v>1720.18</v>
      </c>
      <c r="Q862" s="2">
        <v>172.62</v>
      </c>
      <c r="R862">
        <v>1</v>
      </c>
      <c r="S862" s="2" t="str">
        <f>TEXT(data[[#This Row],[Date]],"mmm yyyy")</f>
        <v>Jun 2025</v>
      </c>
      <c r="T862" s="8">
        <f>data[[#This Row],[Profit]]/data[[#This Row],[Revenue]]</f>
        <v>9.1198224852071005E-2</v>
      </c>
    </row>
    <row r="863" spans="1:20" x14ac:dyDescent="0.3">
      <c r="A863">
        <v>10861</v>
      </c>
      <c r="B863" t="s">
        <v>199</v>
      </c>
      <c r="C863" t="s">
        <v>608</v>
      </c>
      <c r="D863" t="s">
        <v>618</v>
      </c>
      <c r="E863" t="s">
        <v>629</v>
      </c>
      <c r="F863" t="s">
        <v>1458</v>
      </c>
      <c r="G863" t="s">
        <v>1765</v>
      </c>
      <c r="H863" t="s">
        <v>1772</v>
      </c>
      <c r="I863" t="s">
        <v>1774</v>
      </c>
      <c r="J863" t="s">
        <v>1779</v>
      </c>
      <c r="K863">
        <v>3</v>
      </c>
      <c r="L863" s="2">
        <v>698</v>
      </c>
      <c r="M863">
        <v>0</v>
      </c>
      <c r="N863" s="2">
        <v>462.31</v>
      </c>
      <c r="O863" s="2">
        <v>2094</v>
      </c>
      <c r="P863" s="2">
        <v>1386.93</v>
      </c>
      <c r="Q863" s="2">
        <v>707.07</v>
      </c>
      <c r="R863">
        <v>0</v>
      </c>
      <c r="S863" s="2" t="str">
        <f>TEXT(data[[#This Row],[Date]],"mmm yyyy")</f>
        <v>Jun 2025</v>
      </c>
      <c r="T863" s="8">
        <f>data[[#This Row],[Profit]]/data[[#This Row],[Revenue]]</f>
        <v>0.33766475644699145</v>
      </c>
    </row>
    <row r="864" spans="1:20" x14ac:dyDescent="0.3">
      <c r="A864">
        <v>10862</v>
      </c>
      <c r="B864" t="s">
        <v>523</v>
      </c>
      <c r="C864" t="s">
        <v>607</v>
      </c>
      <c r="D864" t="s">
        <v>621</v>
      </c>
      <c r="E864" t="s">
        <v>627</v>
      </c>
      <c r="F864" t="s">
        <v>1459</v>
      </c>
      <c r="G864" t="s">
        <v>1763</v>
      </c>
      <c r="H864" t="s">
        <v>1772</v>
      </c>
      <c r="I864" t="s">
        <v>1774</v>
      </c>
      <c r="J864" t="s">
        <v>1776</v>
      </c>
      <c r="K864">
        <v>12</v>
      </c>
      <c r="L864" s="2">
        <v>747</v>
      </c>
      <c r="M864">
        <v>0.05</v>
      </c>
      <c r="N864" s="2">
        <v>440.18</v>
      </c>
      <c r="O864" s="2">
        <v>8515.7999999999993</v>
      </c>
      <c r="P864" s="2">
        <v>5282.16</v>
      </c>
      <c r="Q864" s="2">
        <v>3233.64</v>
      </c>
      <c r="R864">
        <v>0</v>
      </c>
      <c r="S864" s="2" t="str">
        <f>TEXT(data[[#This Row],[Date]],"mmm yyyy")</f>
        <v>Sep 2024</v>
      </c>
      <c r="T864" s="8">
        <f>data[[#This Row],[Profit]]/data[[#This Row],[Revenue]]</f>
        <v>0.3797223983653914</v>
      </c>
    </row>
    <row r="865" spans="1:20" x14ac:dyDescent="0.3">
      <c r="A865">
        <v>10863</v>
      </c>
      <c r="B865" t="s">
        <v>319</v>
      </c>
      <c r="C865" t="s">
        <v>608</v>
      </c>
      <c r="D865" t="s">
        <v>618</v>
      </c>
      <c r="E865" t="s">
        <v>626</v>
      </c>
      <c r="F865" t="s">
        <v>1460</v>
      </c>
      <c r="G865" t="s">
        <v>1759</v>
      </c>
      <c r="H865" t="s">
        <v>1771</v>
      </c>
      <c r="I865" t="s">
        <v>1775</v>
      </c>
      <c r="J865" t="s">
        <v>1779</v>
      </c>
      <c r="K865">
        <v>4</v>
      </c>
      <c r="L865" s="2">
        <v>549</v>
      </c>
      <c r="M865">
        <v>0</v>
      </c>
      <c r="N865" s="2">
        <v>305.82</v>
      </c>
      <c r="O865" s="2">
        <v>2196</v>
      </c>
      <c r="P865" s="2">
        <v>1223.28</v>
      </c>
      <c r="Q865" s="2">
        <v>972.72</v>
      </c>
      <c r="R865">
        <v>1</v>
      </c>
      <c r="S865" s="2" t="str">
        <f>TEXT(data[[#This Row],[Date]],"mmm yyyy")</f>
        <v>Aug 2025</v>
      </c>
      <c r="T865" s="8">
        <f>data[[#This Row],[Profit]]/data[[#This Row],[Revenue]]</f>
        <v>0.44295081967213118</v>
      </c>
    </row>
    <row r="866" spans="1:20" x14ac:dyDescent="0.3">
      <c r="A866">
        <v>10864</v>
      </c>
      <c r="B866" t="s">
        <v>207</v>
      </c>
      <c r="C866" t="s">
        <v>606</v>
      </c>
      <c r="D866" t="s">
        <v>610</v>
      </c>
      <c r="E866" t="s">
        <v>628</v>
      </c>
      <c r="F866" t="s">
        <v>1461</v>
      </c>
      <c r="G866" t="s">
        <v>1765</v>
      </c>
      <c r="H866" t="s">
        <v>1769</v>
      </c>
      <c r="I866" t="s">
        <v>1775</v>
      </c>
      <c r="J866" t="s">
        <v>1778</v>
      </c>
      <c r="K866">
        <v>8</v>
      </c>
      <c r="L866" s="2">
        <v>327</v>
      </c>
      <c r="M866">
        <v>0</v>
      </c>
      <c r="N866" s="2">
        <v>166.59</v>
      </c>
      <c r="O866" s="2">
        <v>2616</v>
      </c>
      <c r="P866" s="2">
        <v>1332.72</v>
      </c>
      <c r="Q866" s="2">
        <v>1283.28</v>
      </c>
      <c r="R866">
        <v>1</v>
      </c>
      <c r="S866" s="2" t="str">
        <f>TEXT(data[[#This Row],[Date]],"mmm yyyy")</f>
        <v>Nov 2024</v>
      </c>
      <c r="T866" s="8">
        <f>data[[#This Row],[Profit]]/data[[#This Row],[Revenue]]</f>
        <v>0.49055045871559633</v>
      </c>
    </row>
    <row r="867" spans="1:20" x14ac:dyDescent="0.3">
      <c r="A867">
        <v>10865</v>
      </c>
      <c r="B867" t="s">
        <v>381</v>
      </c>
      <c r="C867" t="s">
        <v>608</v>
      </c>
      <c r="D867" t="s">
        <v>614</v>
      </c>
      <c r="E867" t="s">
        <v>629</v>
      </c>
      <c r="F867" t="s">
        <v>1462</v>
      </c>
      <c r="G867" t="s">
        <v>1763</v>
      </c>
      <c r="H867" t="s">
        <v>1771</v>
      </c>
      <c r="I867" t="s">
        <v>1775</v>
      </c>
      <c r="J867" t="s">
        <v>1778</v>
      </c>
      <c r="K867">
        <v>19</v>
      </c>
      <c r="L867" s="2">
        <v>531</v>
      </c>
      <c r="M867">
        <v>0</v>
      </c>
      <c r="N867" s="2">
        <v>379.37</v>
      </c>
      <c r="O867" s="2">
        <v>10089</v>
      </c>
      <c r="P867" s="2">
        <v>7208.03</v>
      </c>
      <c r="Q867" s="2">
        <v>2880.97</v>
      </c>
      <c r="R867">
        <v>0</v>
      </c>
      <c r="S867" s="2" t="str">
        <f>TEXT(data[[#This Row],[Date]],"mmm yyyy")</f>
        <v>Dec 2024</v>
      </c>
      <c r="T867" s="8">
        <f>data[[#This Row],[Profit]]/data[[#This Row],[Revenue]]</f>
        <v>0.28555555555555556</v>
      </c>
    </row>
    <row r="868" spans="1:20" x14ac:dyDescent="0.3">
      <c r="A868">
        <v>10866</v>
      </c>
      <c r="B868" t="s">
        <v>524</v>
      </c>
      <c r="C868" t="s">
        <v>606</v>
      </c>
      <c r="D868" t="s">
        <v>625</v>
      </c>
      <c r="E868" t="s">
        <v>629</v>
      </c>
      <c r="F868" t="s">
        <v>1463</v>
      </c>
      <c r="G868" t="s">
        <v>1764</v>
      </c>
      <c r="H868" t="s">
        <v>1767</v>
      </c>
      <c r="I868" t="s">
        <v>1775</v>
      </c>
      <c r="J868" t="s">
        <v>1778</v>
      </c>
      <c r="K868">
        <v>6</v>
      </c>
      <c r="L868" s="2">
        <v>269</v>
      </c>
      <c r="M868">
        <v>0.2</v>
      </c>
      <c r="N868" s="2">
        <v>175.15</v>
      </c>
      <c r="O868" s="2">
        <v>1291.2</v>
      </c>
      <c r="P868" s="2">
        <v>1050.9000000000001</v>
      </c>
      <c r="Q868" s="2">
        <v>240.3</v>
      </c>
      <c r="R868">
        <v>0</v>
      </c>
      <c r="S868" s="2" t="str">
        <f>TEXT(data[[#This Row],[Date]],"mmm yyyy")</f>
        <v>Sep 2025</v>
      </c>
      <c r="T868" s="8">
        <f>data[[#This Row],[Profit]]/data[[#This Row],[Revenue]]</f>
        <v>0.18610594795539034</v>
      </c>
    </row>
    <row r="869" spans="1:20" x14ac:dyDescent="0.3">
      <c r="A869">
        <v>10867</v>
      </c>
      <c r="B869" t="s">
        <v>525</v>
      </c>
      <c r="C869" t="s">
        <v>608</v>
      </c>
      <c r="D869" t="s">
        <v>612</v>
      </c>
      <c r="E869" t="s">
        <v>627</v>
      </c>
      <c r="F869" t="s">
        <v>1464</v>
      </c>
      <c r="G869" t="s">
        <v>1762</v>
      </c>
      <c r="H869" t="s">
        <v>1770</v>
      </c>
      <c r="I869" t="s">
        <v>1775</v>
      </c>
      <c r="J869" t="s">
        <v>1778</v>
      </c>
      <c r="K869">
        <v>3</v>
      </c>
      <c r="L869" s="2">
        <v>929</v>
      </c>
      <c r="M869">
        <v>0.1</v>
      </c>
      <c r="N869" s="2">
        <v>623.88</v>
      </c>
      <c r="O869" s="2">
        <v>2508.3000000000002</v>
      </c>
      <c r="P869" s="2">
        <v>1871.64</v>
      </c>
      <c r="Q869" s="2">
        <v>636.66</v>
      </c>
      <c r="R869">
        <v>1</v>
      </c>
      <c r="S869" s="2" t="str">
        <f>TEXT(data[[#This Row],[Date]],"mmm yyyy")</f>
        <v>Feb 2025</v>
      </c>
      <c r="T869" s="8">
        <f>data[[#This Row],[Profit]]/data[[#This Row],[Revenue]]</f>
        <v>0.25382131324004303</v>
      </c>
    </row>
    <row r="870" spans="1:20" x14ac:dyDescent="0.3">
      <c r="A870">
        <v>10868</v>
      </c>
      <c r="B870" t="s">
        <v>424</v>
      </c>
      <c r="C870" t="s">
        <v>609</v>
      </c>
      <c r="D870" t="s">
        <v>623</v>
      </c>
      <c r="E870" t="s">
        <v>629</v>
      </c>
      <c r="F870" t="s">
        <v>1465</v>
      </c>
      <c r="G870" t="s">
        <v>1766</v>
      </c>
      <c r="H870" t="s">
        <v>1767</v>
      </c>
      <c r="I870" t="s">
        <v>1774</v>
      </c>
      <c r="J870" t="s">
        <v>1779</v>
      </c>
      <c r="K870">
        <v>13</v>
      </c>
      <c r="L870" s="2">
        <v>86</v>
      </c>
      <c r="M870">
        <v>0.05</v>
      </c>
      <c r="N870" s="2">
        <v>44.14</v>
      </c>
      <c r="O870" s="2">
        <v>1062.0999999999999</v>
      </c>
      <c r="P870" s="2">
        <v>573.82000000000005</v>
      </c>
      <c r="Q870" s="2">
        <v>488.28</v>
      </c>
      <c r="R870">
        <v>1</v>
      </c>
      <c r="S870" s="2" t="str">
        <f>TEXT(data[[#This Row],[Date]],"mmm yyyy")</f>
        <v>Jan 2024</v>
      </c>
      <c r="T870" s="8">
        <f>data[[#This Row],[Profit]]/data[[#This Row],[Revenue]]</f>
        <v>0.45973072215422278</v>
      </c>
    </row>
    <row r="871" spans="1:20" x14ac:dyDescent="0.3">
      <c r="A871">
        <v>10869</v>
      </c>
      <c r="B871" t="s">
        <v>492</v>
      </c>
      <c r="C871" t="s">
        <v>608</v>
      </c>
      <c r="D871" t="s">
        <v>618</v>
      </c>
      <c r="E871" t="s">
        <v>627</v>
      </c>
      <c r="F871" t="s">
        <v>1466</v>
      </c>
      <c r="G871" t="s">
        <v>1761</v>
      </c>
      <c r="H871" t="s">
        <v>1771</v>
      </c>
      <c r="I871" t="s">
        <v>1775</v>
      </c>
      <c r="J871" t="s">
        <v>1776</v>
      </c>
      <c r="K871">
        <v>19</v>
      </c>
      <c r="L871" s="2">
        <v>645</v>
      </c>
      <c r="M871">
        <v>0.2</v>
      </c>
      <c r="N871" s="2">
        <v>478.41</v>
      </c>
      <c r="O871" s="2">
        <v>9804</v>
      </c>
      <c r="P871" s="2">
        <v>9089.7900000000009</v>
      </c>
      <c r="Q871" s="2">
        <v>714.21</v>
      </c>
      <c r="R871">
        <v>1</v>
      </c>
      <c r="S871" s="2" t="str">
        <f>TEXT(data[[#This Row],[Date]],"mmm yyyy")</f>
        <v>Dec 2024</v>
      </c>
      <c r="T871" s="8">
        <f>data[[#This Row],[Profit]]/data[[#This Row],[Revenue]]</f>
        <v>7.2848837209302325E-2</v>
      </c>
    </row>
    <row r="872" spans="1:20" x14ac:dyDescent="0.3">
      <c r="A872">
        <v>10870</v>
      </c>
      <c r="B872" t="s">
        <v>526</v>
      </c>
      <c r="C872" t="s">
        <v>607</v>
      </c>
      <c r="D872" t="s">
        <v>621</v>
      </c>
      <c r="E872" t="s">
        <v>628</v>
      </c>
      <c r="F872" t="s">
        <v>1467</v>
      </c>
      <c r="G872" t="s">
        <v>1759</v>
      </c>
      <c r="H872" t="s">
        <v>1768</v>
      </c>
      <c r="I872" t="s">
        <v>1775</v>
      </c>
      <c r="J872" t="s">
        <v>1777</v>
      </c>
      <c r="K872">
        <v>15</v>
      </c>
      <c r="L872" s="2">
        <v>993</v>
      </c>
      <c r="M872">
        <v>0.05</v>
      </c>
      <c r="N872" s="2">
        <v>653.85</v>
      </c>
      <c r="O872" s="2">
        <v>14150.25</v>
      </c>
      <c r="P872" s="2">
        <v>9807.75</v>
      </c>
      <c r="Q872" s="2">
        <v>4342.5</v>
      </c>
      <c r="R872">
        <v>0</v>
      </c>
      <c r="S872" s="2" t="str">
        <f>TEXT(data[[#This Row],[Date]],"mmm yyyy")</f>
        <v>Mar 2025</v>
      </c>
      <c r="T872" s="8">
        <f>data[[#This Row],[Profit]]/data[[#This Row],[Revenue]]</f>
        <v>0.30688503736683098</v>
      </c>
    </row>
    <row r="873" spans="1:20" x14ac:dyDescent="0.3">
      <c r="A873">
        <v>10871</v>
      </c>
      <c r="B873" t="s">
        <v>100</v>
      </c>
      <c r="C873" t="s">
        <v>606</v>
      </c>
      <c r="D873" t="s">
        <v>610</v>
      </c>
      <c r="E873" t="s">
        <v>628</v>
      </c>
      <c r="F873" t="s">
        <v>1468</v>
      </c>
      <c r="G873" t="s">
        <v>1763</v>
      </c>
      <c r="H873" t="s">
        <v>1772</v>
      </c>
      <c r="I873" t="s">
        <v>1774</v>
      </c>
      <c r="J873" t="s">
        <v>1779</v>
      </c>
      <c r="K873">
        <v>4</v>
      </c>
      <c r="L873" s="2">
        <v>736</v>
      </c>
      <c r="M873">
        <v>0.2</v>
      </c>
      <c r="N873" s="2">
        <v>439</v>
      </c>
      <c r="O873" s="2">
        <v>2355.1999999999998</v>
      </c>
      <c r="P873" s="2">
        <v>1756</v>
      </c>
      <c r="Q873" s="2">
        <v>599.20000000000005</v>
      </c>
      <c r="R873">
        <v>1</v>
      </c>
      <c r="S873" s="2" t="str">
        <f>TEXT(data[[#This Row],[Date]],"mmm yyyy")</f>
        <v>Sep 2024</v>
      </c>
      <c r="T873" s="8">
        <f>data[[#This Row],[Profit]]/data[[#This Row],[Revenue]]</f>
        <v>0.25441576086956524</v>
      </c>
    </row>
    <row r="874" spans="1:20" x14ac:dyDescent="0.3">
      <c r="A874">
        <v>10872</v>
      </c>
      <c r="B874" t="s">
        <v>92</v>
      </c>
      <c r="C874" t="s">
        <v>606</v>
      </c>
      <c r="D874" t="s">
        <v>616</v>
      </c>
      <c r="E874" t="s">
        <v>626</v>
      </c>
      <c r="F874" t="s">
        <v>1469</v>
      </c>
      <c r="G874" t="s">
        <v>1761</v>
      </c>
      <c r="H874" t="s">
        <v>1767</v>
      </c>
      <c r="I874" t="s">
        <v>1773</v>
      </c>
      <c r="J874" t="s">
        <v>1778</v>
      </c>
      <c r="K874">
        <v>8</v>
      </c>
      <c r="L874" s="2">
        <v>136</v>
      </c>
      <c r="M874">
        <v>0.05</v>
      </c>
      <c r="N874" s="2">
        <v>83.71</v>
      </c>
      <c r="O874" s="2">
        <v>1033.5999999999999</v>
      </c>
      <c r="P874" s="2">
        <v>669.68</v>
      </c>
      <c r="Q874" s="2">
        <v>363.92</v>
      </c>
      <c r="R874">
        <v>0</v>
      </c>
      <c r="S874" s="2" t="str">
        <f>TEXT(data[[#This Row],[Date]],"mmm yyyy")</f>
        <v>Oct 2025</v>
      </c>
      <c r="T874" s="8">
        <f>data[[#This Row],[Profit]]/data[[#This Row],[Revenue]]</f>
        <v>0.35208978328173379</v>
      </c>
    </row>
    <row r="875" spans="1:20" x14ac:dyDescent="0.3">
      <c r="A875">
        <v>10873</v>
      </c>
      <c r="B875" t="s">
        <v>404</v>
      </c>
      <c r="C875" t="s">
        <v>606</v>
      </c>
      <c r="D875" t="s">
        <v>620</v>
      </c>
      <c r="E875" t="s">
        <v>629</v>
      </c>
      <c r="F875" t="s">
        <v>1470</v>
      </c>
      <c r="G875" t="s">
        <v>1763</v>
      </c>
      <c r="H875" t="s">
        <v>1769</v>
      </c>
      <c r="I875" t="s">
        <v>1775</v>
      </c>
      <c r="J875" t="s">
        <v>1778</v>
      </c>
      <c r="K875">
        <v>11</v>
      </c>
      <c r="L875" s="2">
        <v>357</v>
      </c>
      <c r="M875">
        <v>0.15</v>
      </c>
      <c r="N875" s="2">
        <v>233.26</v>
      </c>
      <c r="O875" s="2">
        <v>3337.95</v>
      </c>
      <c r="P875" s="2">
        <v>2565.86</v>
      </c>
      <c r="Q875" s="2">
        <v>772.09</v>
      </c>
      <c r="R875">
        <v>1</v>
      </c>
      <c r="S875" s="2" t="str">
        <f>TEXT(data[[#This Row],[Date]],"mmm yyyy")</f>
        <v>Aug 2024</v>
      </c>
      <c r="T875" s="8">
        <f>data[[#This Row],[Profit]]/data[[#This Row],[Revenue]]</f>
        <v>0.23130664030318013</v>
      </c>
    </row>
    <row r="876" spans="1:20" x14ac:dyDescent="0.3">
      <c r="A876">
        <v>10874</v>
      </c>
      <c r="B876" t="s">
        <v>200</v>
      </c>
      <c r="C876" t="s">
        <v>607</v>
      </c>
      <c r="D876" t="s">
        <v>617</v>
      </c>
      <c r="E876" t="s">
        <v>628</v>
      </c>
      <c r="F876" t="s">
        <v>1471</v>
      </c>
      <c r="G876" t="s">
        <v>1760</v>
      </c>
      <c r="H876" t="s">
        <v>1770</v>
      </c>
      <c r="I876" t="s">
        <v>1775</v>
      </c>
      <c r="J876" t="s">
        <v>1779</v>
      </c>
      <c r="K876">
        <v>15</v>
      </c>
      <c r="L876" s="2">
        <v>775</v>
      </c>
      <c r="M876">
        <v>0.15</v>
      </c>
      <c r="N876" s="2">
        <v>505.9</v>
      </c>
      <c r="O876" s="2">
        <v>9881.25</v>
      </c>
      <c r="P876" s="2">
        <v>7588.5</v>
      </c>
      <c r="Q876" s="2">
        <v>2292.75</v>
      </c>
      <c r="R876">
        <v>1</v>
      </c>
      <c r="S876" s="2" t="str">
        <f>TEXT(data[[#This Row],[Date]],"mmm yyyy")</f>
        <v>Jul 2025</v>
      </c>
      <c r="T876" s="8">
        <f>data[[#This Row],[Profit]]/data[[#This Row],[Revenue]]</f>
        <v>0.23203036053130929</v>
      </c>
    </row>
    <row r="877" spans="1:20" x14ac:dyDescent="0.3">
      <c r="A877">
        <v>10875</v>
      </c>
      <c r="B877" t="s">
        <v>41</v>
      </c>
      <c r="C877" t="s">
        <v>606</v>
      </c>
      <c r="D877" t="s">
        <v>610</v>
      </c>
      <c r="E877" t="s">
        <v>628</v>
      </c>
      <c r="F877" t="s">
        <v>1472</v>
      </c>
      <c r="G877" t="s">
        <v>1759</v>
      </c>
      <c r="H877" t="s">
        <v>1768</v>
      </c>
      <c r="I877" t="s">
        <v>1773</v>
      </c>
      <c r="J877" t="s">
        <v>1779</v>
      </c>
      <c r="K877">
        <v>17</v>
      </c>
      <c r="L877" s="2">
        <v>1337</v>
      </c>
      <c r="M877">
        <v>0.2</v>
      </c>
      <c r="N877" s="2">
        <v>1000.04</v>
      </c>
      <c r="O877" s="2">
        <v>18183.2</v>
      </c>
      <c r="P877" s="2">
        <v>17000.68</v>
      </c>
      <c r="Q877" s="2">
        <v>1182.52</v>
      </c>
      <c r="R877">
        <v>1</v>
      </c>
      <c r="S877" s="2" t="str">
        <f>TEXT(data[[#This Row],[Date]],"mmm yyyy")</f>
        <v>Nov 2025</v>
      </c>
      <c r="T877" s="8">
        <f>data[[#This Row],[Profit]]/data[[#This Row],[Revenue]]</f>
        <v>6.5033657442034404E-2</v>
      </c>
    </row>
    <row r="878" spans="1:20" x14ac:dyDescent="0.3">
      <c r="A878">
        <v>10876</v>
      </c>
      <c r="B878" t="s">
        <v>134</v>
      </c>
      <c r="C878" t="s">
        <v>606</v>
      </c>
      <c r="D878" t="s">
        <v>616</v>
      </c>
      <c r="E878" t="s">
        <v>629</v>
      </c>
      <c r="F878" t="s">
        <v>1473</v>
      </c>
      <c r="G878" t="s">
        <v>1763</v>
      </c>
      <c r="H878" t="s">
        <v>1767</v>
      </c>
      <c r="I878" t="s">
        <v>1775</v>
      </c>
      <c r="J878" t="s">
        <v>1776</v>
      </c>
      <c r="K878">
        <v>8</v>
      </c>
      <c r="L878" s="2">
        <v>167</v>
      </c>
      <c r="M878">
        <v>0.05</v>
      </c>
      <c r="N878" s="2">
        <v>86.23</v>
      </c>
      <c r="O878" s="2">
        <v>1269.2</v>
      </c>
      <c r="P878" s="2">
        <v>689.84</v>
      </c>
      <c r="Q878" s="2">
        <v>579.36</v>
      </c>
      <c r="R878">
        <v>0</v>
      </c>
      <c r="S878" s="2" t="str">
        <f>TEXT(data[[#This Row],[Date]],"mmm yyyy")</f>
        <v>Feb 2024</v>
      </c>
      <c r="T878" s="8">
        <f>data[[#This Row],[Profit]]/data[[#This Row],[Revenue]]</f>
        <v>0.45647652064292465</v>
      </c>
    </row>
    <row r="879" spans="1:20" x14ac:dyDescent="0.3">
      <c r="A879">
        <v>10877</v>
      </c>
      <c r="B879" t="s">
        <v>527</v>
      </c>
      <c r="C879" t="s">
        <v>608</v>
      </c>
      <c r="D879" t="s">
        <v>612</v>
      </c>
      <c r="E879" t="s">
        <v>627</v>
      </c>
      <c r="F879" t="s">
        <v>902</v>
      </c>
      <c r="G879" t="s">
        <v>1762</v>
      </c>
      <c r="H879" t="s">
        <v>1772</v>
      </c>
      <c r="I879" t="s">
        <v>1773</v>
      </c>
      <c r="J879" t="s">
        <v>1776</v>
      </c>
      <c r="K879">
        <v>9</v>
      </c>
      <c r="L879" s="2">
        <v>886</v>
      </c>
      <c r="M879">
        <v>0.1</v>
      </c>
      <c r="N879" s="2">
        <v>467.3</v>
      </c>
      <c r="O879" s="2">
        <v>7176.6</v>
      </c>
      <c r="P879" s="2">
        <v>4205.7</v>
      </c>
      <c r="Q879" s="2">
        <v>2970.9</v>
      </c>
      <c r="R879">
        <v>0</v>
      </c>
      <c r="S879" s="2" t="str">
        <f>TEXT(data[[#This Row],[Date]],"mmm yyyy")</f>
        <v>Apr 2024</v>
      </c>
      <c r="T879" s="8">
        <f>data[[#This Row],[Profit]]/data[[#This Row],[Revenue]]</f>
        <v>0.41397040381239025</v>
      </c>
    </row>
    <row r="880" spans="1:20" x14ac:dyDescent="0.3">
      <c r="A880">
        <v>10878</v>
      </c>
      <c r="B880" t="s">
        <v>377</v>
      </c>
      <c r="C880" t="s">
        <v>609</v>
      </c>
      <c r="D880" t="s">
        <v>623</v>
      </c>
      <c r="E880" t="s">
        <v>626</v>
      </c>
      <c r="F880" t="s">
        <v>1474</v>
      </c>
      <c r="G880" t="s">
        <v>1766</v>
      </c>
      <c r="H880" t="s">
        <v>1769</v>
      </c>
      <c r="I880" t="s">
        <v>1773</v>
      </c>
      <c r="J880" t="s">
        <v>1778</v>
      </c>
      <c r="K880">
        <v>15</v>
      </c>
      <c r="L880" s="2">
        <v>257</v>
      </c>
      <c r="M880">
        <v>0.2</v>
      </c>
      <c r="N880" s="2">
        <v>143</v>
      </c>
      <c r="O880" s="2">
        <v>3084</v>
      </c>
      <c r="P880" s="2">
        <v>2145</v>
      </c>
      <c r="Q880" s="2">
        <v>939</v>
      </c>
      <c r="R880">
        <v>0</v>
      </c>
      <c r="S880" s="2" t="str">
        <f>TEXT(data[[#This Row],[Date]],"mmm yyyy")</f>
        <v>Jan 2025</v>
      </c>
      <c r="T880" s="8">
        <f>data[[#This Row],[Profit]]/data[[#This Row],[Revenue]]</f>
        <v>0.3044747081712062</v>
      </c>
    </row>
    <row r="881" spans="1:20" x14ac:dyDescent="0.3">
      <c r="A881">
        <v>10879</v>
      </c>
      <c r="B881" t="s">
        <v>182</v>
      </c>
      <c r="C881" t="s">
        <v>606</v>
      </c>
      <c r="D881" t="s">
        <v>625</v>
      </c>
      <c r="E881" t="s">
        <v>627</v>
      </c>
      <c r="F881" t="s">
        <v>1475</v>
      </c>
      <c r="G881" t="s">
        <v>1764</v>
      </c>
      <c r="H881" t="s">
        <v>1772</v>
      </c>
      <c r="I881" t="s">
        <v>1775</v>
      </c>
      <c r="J881" t="s">
        <v>1777</v>
      </c>
      <c r="K881">
        <v>10</v>
      </c>
      <c r="L881" s="2">
        <v>693</v>
      </c>
      <c r="M881">
        <v>0.1</v>
      </c>
      <c r="N881" s="2">
        <v>412.16</v>
      </c>
      <c r="O881" s="2">
        <v>6237</v>
      </c>
      <c r="P881" s="2">
        <v>4121.6000000000004</v>
      </c>
      <c r="Q881" s="2">
        <v>2115.4</v>
      </c>
      <c r="R881">
        <v>0</v>
      </c>
      <c r="S881" s="2" t="str">
        <f>TEXT(data[[#This Row],[Date]],"mmm yyyy")</f>
        <v>Nov 2025</v>
      </c>
      <c r="T881" s="8">
        <f>data[[#This Row],[Profit]]/data[[#This Row],[Revenue]]</f>
        <v>0.33916947250280582</v>
      </c>
    </row>
    <row r="882" spans="1:20" x14ac:dyDescent="0.3">
      <c r="A882">
        <v>10880</v>
      </c>
      <c r="B882" t="s">
        <v>528</v>
      </c>
      <c r="C882" t="s">
        <v>609</v>
      </c>
      <c r="D882" t="s">
        <v>622</v>
      </c>
      <c r="E882" t="s">
        <v>629</v>
      </c>
      <c r="F882" t="s">
        <v>1476</v>
      </c>
      <c r="G882" t="s">
        <v>1766</v>
      </c>
      <c r="H882" t="s">
        <v>1767</v>
      </c>
      <c r="I882" t="s">
        <v>1774</v>
      </c>
      <c r="J882" t="s">
        <v>1776</v>
      </c>
      <c r="K882">
        <v>5</v>
      </c>
      <c r="L882" s="2">
        <v>243</v>
      </c>
      <c r="M882">
        <v>0.2</v>
      </c>
      <c r="N882" s="2">
        <v>162.55000000000001</v>
      </c>
      <c r="O882" s="2">
        <v>972</v>
      </c>
      <c r="P882" s="2">
        <v>812.75</v>
      </c>
      <c r="Q882" s="2">
        <v>159.25</v>
      </c>
      <c r="R882">
        <v>0</v>
      </c>
      <c r="S882" s="2" t="str">
        <f>TEXT(data[[#This Row],[Date]],"mmm yyyy")</f>
        <v>Mar 2024</v>
      </c>
      <c r="T882" s="8">
        <f>data[[#This Row],[Profit]]/data[[#This Row],[Revenue]]</f>
        <v>0.16383744855967078</v>
      </c>
    </row>
    <row r="883" spans="1:20" x14ac:dyDescent="0.3">
      <c r="A883">
        <v>10881</v>
      </c>
      <c r="B883" t="s">
        <v>184</v>
      </c>
      <c r="C883" t="s">
        <v>608</v>
      </c>
      <c r="D883" t="s">
        <v>614</v>
      </c>
      <c r="E883" t="s">
        <v>627</v>
      </c>
      <c r="F883" t="s">
        <v>1477</v>
      </c>
      <c r="G883" t="s">
        <v>1759</v>
      </c>
      <c r="H883" t="s">
        <v>1768</v>
      </c>
      <c r="I883" t="s">
        <v>1774</v>
      </c>
      <c r="J883" t="s">
        <v>1779</v>
      </c>
      <c r="K883">
        <v>15</v>
      </c>
      <c r="L883" s="2">
        <v>1311</v>
      </c>
      <c r="M883">
        <v>0</v>
      </c>
      <c r="N883" s="2">
        <v>979.8</v>
      </c>
      <c r="O883" s="2">
        <v>19665</v>
      </c>
      <c r="P883" s="2">
        <v>14697</v>
      </c>
      <c r="Q883" s="2">
        <v>4968</v>
      </c>
      <c r="R883">
        <v>1</v>
      </c>
      <c r="S883" s="2" t="str">
        <f>TEXT(data[[#This Row],[Date]],"mmm yyyy")</f>
        <v>Mar 2025</v>
      </c>
      <c r="T883" s="8">
        <f>data[[#This Row],[Profit]]/data[[#This Row],[Revenue]]</f>
        <v>0.25263157894736843</v>
      </c>
    </row>
    <row r="884" spans="1:20" x14ac:dyDescent="0.3">
      <c r="A884">
        <v>10882</v>
      </c>
      <c r="B884" t="s">
        <v>377</v>
      </c>
      <c r="C884" t="s">
        <v>609</v>
      </c>
      <c r="D884" t="s">
        <v>623</v>
      </c>
      <c r="E884" t="s">
        <v>629</v>
      </c>
      <c r="F884" t="s">
        <v>1478</v>
      </c>
      <c r="G884" t="s">
        <v>1760</v>
      </c>
      <c r="H884" t="s">
        <v>1771</v>
      </c>
      <c r="I884" t="s">
        <v>1774</v>
      </c>
      <c r="J884" t="s">
        <v>1776</v>
      </c>
      <c r="K884">
        <v>5</v>
      </c>
      <c r="L884" s="2">
        <v>441</v>
      </c>
      <c r="M884">
        <v>0.1</v>
      </c>
      <c r="N884" s="2">
        <v>252.82</v>
      </c>
      <c r="O884" s="2">
        <v>1984.5</v>
      </c>
      <c r="P884" s="2">
        <v>1264.0999999999999</v>
      </c>
      <c r="Q884" s="2">
        <v>720.4</v>
      </c>
      <c r="R884">
        <v>1</v>
      </c>
      <c r="S884" s="2" t="str">
        <f>TEXT(data[[#This Row],[Date]],"mmm yyyy")</f>
        <v>Jan 2025</v>
      </c>
      <c r="T884" s="8">
        <f>data[[#This Row],[Profit]]/data[[#This Row],[Revenue]]</f>
        <v>0.36301335348954394</v>
      </c>
    </row>
    <row r="885" spans="1:20" x14ac:dyDescent="0.3">
      <c r="A885">
        <v>10883</v>
      </c>
      <c r="B885" t="s">
        <v>472</v>
      </c>
      <c r="C885" t="s">
        <v>606</v>
      </c>
      <c r="D885" t="s">
        <v>616</v>
      </c>
      <c r="E885" t="s">
        <v>627</v>
      </c>
      <c r="F885" t="s">
        <v>1310</v>
      </c>
      <c r="G885" t="s">
        <v>1762</v>
      </c>
      <c r="H885" t="s">
        <v>1771</v>
      </c>
      <c r="I885" t="s">
        <v>1774</v>
      </c>
      <c r="J885" t="s">
        <v>1778</v>
      </c>
      <c r="K885">
        <v>17</v>
      </c>
      <c r="L885" s="2">
        <v>321</v>
      </c>
      <c r="M885">
        <v>0.05</v>
      </c>
      <c r="N885" s="2">
        <v>183.38</v>
      </c>
      <c r="O885" s="2">
        <v>5184.1499999999996</v>
      </c>
      <c r="P885" s="2">
        <v>3117.46</v>
      </c>
      <c r="Q885" s="2">
        <v>2066.69</v>
      </c>
      <c r="R885">
        <v>0</v>
      </c>
      <c r="S885" s="2" t="str">
        <f>TEXT(data[[#This Row],[Date]],"mmm yyyy")</f>
        <v>Mar 2024</v>
      </c>
      <c r="T885" s="8">
        <f>data[[#This Row],[Profit]]/data[[#This Row],[Revenue]]</f>
        <v>0.39865551729791771</v>
      </c>
    </row>
    <row r="886" spans="1:20" x14ac:dyDescent="0.3">
      <c r="A886">
        <v>10884</v>
      </c>
      <c r="B886" t="s">
        <v>281</v>
      </c>
      <c r="C886" t="s">
        <v>606</v>
      </c>
      <c r="D886" t="s">
        <v>625</v>
      </c>
      <c r="E886" t="s">
        <v>626</v>
      </c>
      <c r="F886" t="s">
        <v>935</v>
      </c>
      <c r="G886" t="s">
        <v>1763</v>
      </c>
      <c r="H886" t="s">
        <v>1769</v>
      </c>
      <c r="I886" t="s">
        <v>1774</v>
      </c>
      <c r="J886" t="s">
        <v>1778</v>
      </c>
      <c r="K886">
        <v>11</v>
      </c>
      <c r="L886" s="2">
        <v>315</v>
      </c>
      <c r="M886">
        <v>0.05</v>
      </c>
      <c r="N886" s="2">
        <v>203.16</v>
      </c>
      <c r="O886" s="2">
        <v>3291.75</v>
      </c>
      <c r="P886" s="2">
        <v>2234.7600000000002</v>
      </c>
      <c r="Q886" s="2">
        <v>1056.99</v>
      </c>
      <c r="R886">
        <v>0</v>
      </c>
      <c r="S886" s="2" t="str">
        <f>TEXT(data[[#This Row],[Date]],"mmm yyyy")</f>
        <v>Oct 2025</v>
      </c>
      <c r="T886" s="8">
        <f>data[[#This Row],[Profit]]/data[[#This Row],[Revenue]]</f>
        <v>0.32110275689223056</v>
      </c>
    </row>
    <row r="887" spans="1:20" x14ac:dyDescent="0.3">
      <c r="A887">
        <v>10885</v>
      </c>
      <c r="B887" t="s">
        <v>529</v>
      </c>
      <c r="C887" t="s">
        <v>608</v>
      </c>
      <c r="D887" t="s">
        <v>615</v>
      </c>
      <c r="E887" t="s">
        <v>628</v>
      </c>
      <c r="F887" t="s">
        <v>1479</v>
      </c>
      <c r="G887" t="s">
        <v>1762</v>
      </c>
      <c r="H887" t="s">
        <v>1768</v>
      </c>
      <c r="I887" t="s">
        <v>1774</v>
      </c>
      <c r="J887" t="s">
        <v>1779</v>
      </c>
      <c r="K887">
        <v>8</v>
      </c>
      <c r="L887" s="2">
        <v>1070</v>
      </c>
      <c r="M887">
        <v>0</v>
      </c>
      <c r="N887" s="2">
        <v>760.91</v>
      </c>
      <c r="O887" s="2">
        <v>8560</v>
      </c>
      <c r="P887" s="2">
        <v>6087.28</v>
      </c>
      <c r="Q887" s="2">
        <v>2472.7199999999998</v>
      </c>
      <c r="R887">
        <v>0</v>
      </c>
      <c r="S887" s="2" t="str">
        <f>TEXT(data[[#This Row],[Date]],"mmm yyyy")</f>
        <v>Apr 2025</v>
      </c>
      <c r="T887" s="8">
        <f>data[[#This Row],[Profit]]/data[[#This Row],[Revenue]]</f>
        <v>0.28886915887850467</v>
      </c>
    </row>
    <row r="888" spans="1:20" x14ac:dyDescent="0.3">
      <c r="A888">
        <v>10886</v>
      </c>
      <c r="B888" t="s">
        <v>530</v>
      </c>
      <c r="C888" t="s">
        <v>609</v>
      </c>
      <c r="D888" t="s">
        <v>619</v>
      </c>
      <c r="E888" t="s">
        <v>629</v>
      </c>
      <c r="F888" t="s">
        <v>1480</v>
      </c>
      <c r="G888" t="s">
        <v>1764</v>
      </c>
      <c r="H888" t="s">
        <v>1772</v>
      </c>
      <c r="I888" t="s">
        <v>1774</v>
      </c>
      <c r="J888" t="s">
        <v>1776</v>
      </c>
      <c r="K888">
        <v>20</v>
      </c>
      <c r="L888" s="2">
        <v>628</v>
      </c>
      <c r="M888">
        <v>0.15</v>
      </c>
      <c r="N888" s="2">
        <v>355.69</v>
      </c>
      <c r="O888" s="2">
        <v>10676</v>
      </c>
      <c r="P888" s="2">
        <v>7113.8</v>
      </c>
      <c r="Q888" s="2">
        <v>3562.2</v>
      </c>
      <c r="R888">
        <v>0</v>
      </c>
      <c r="S888" s="2" t="str">
        <f>TEXT(data[[#This Row],[Date]],"mmm yyyy")</f>
        <v>May 2025</v>
      </c>
      <c r="T888" s="8">
        <f>data[[#This Row],[Profit]]/data[[#This Row],[Revenue]]</f>
        <v>0.3336642937429749</v>
      </c>
    </row>
    <row r="889" spans="1:20" x14ac:dyDescent="0.3">
      <c r="A889">
        <v>10887</v>
      </c>
      <c r="B889" t="s">
        <v>23</v>
      </c>
      <c r="C889" t="s">
        <v>609</v>
      </c>
      <c r="D889" t="s">
        <v>622</v>
      </c>
      <c r="E889" t="s">
        <v>628</v>
      </c>
      <c r="F889" t="s">
        <v>1481</v>
      </c>
      <c r="G889" t="s">
        <v>1765</v>
      </c>
      <c r="H889" t="s">
        <v>1771</v>
      </c>
      <c r="I889" t="s">
        <v>1773</v>
      </c>
      <c r="J889" t="s">
        <v>1778</v>
      </c>
      <c r="K889">
        <v>13</v>
      </c>
      <c r="L889" s="2">
        <v>342</v>
      </c>
      <c r="M889">
        <v>0</v>
      </c>
      <c r="N889" s="2">
        <v>174.1</v>
      </c>
      <c r="O889" s="2">
        <v>4446</v>
      </c>
      <c r="P889" s="2">
        <v>2263.3000000000002</v>
      </c>
      <c r="Q889" s="2">
        <v>2182.6999999999998</v>
      </c>
      <c r="R889">
        <v>0</v>
      </c>
      <c r="S889" s="2" t="str">
        <f>TEXT(data[[#This Row],[Date]],"mmm yyyy")</f>
        <v>Dec 2024</v>
      </c>
      <c r="T889" s="8">
        <f>data[[#This Row],[Profit]]/data[[#This Row],[Revenue]]</f>
        <v>0.49093567251461984</v>
      </c>
    </row>
    <row r="890" spans="1:20" x14ac:dyDescent="0.3">
      <c r="A890">
        <v>10888</v>
      </c>
      <c r="B890" t="s">
        <v>28</v>
      </c>
      <c r="C890" t="s">
        <v>608</v>
      </c>
      <c r="D890" t="s">
        <v>618</v>
      </c>
      <c r="E890" t="s">
        <v>626</v>
      </c>
      <c r="F890" t="s">
        <v>1482</v>
      </c>
      <c r="G890" t="s">
        <v>1766</v>
      </c>
      <c r="H890" t="s">
        <v>1767</v>
      </c>
      <c r="I890" t="s">
        <v>1773</v>
      </c>
      <c r="J890" t="s">
        <v>1776</v>
      </c>
      <c r="K890">
        <v>17</v>
      </c>
      <c r="L890" s="2">
        <v>139</v>
      </c>
      <c r="M890">
        <v>0</v>
      </c>
      <c r="N890" s="2">
        <v>71.45</v>
      </c>
      <c r="O890" s="2">
        <v>2363</v>
      </c>
      <c r="P890" s="2">
        <v>1214.6500000000001</v>
      </c>
      <c r="Q890" s="2">
        <v>1148.3499999999999</v>
      </c>
      <c r="R890">
        <v>0</v>
      </c>
      <c r="S890" s="2" t="str">
        <f>TEXT(data[[#This Row],[Date]],"mmm yyyy")</f>
        <v>Apr 2024</v>
      </c>
      <c r="T890" s="8">
        <f>data[[#This Row],[Profit]]/data[[#This Row],[Revenue]]</f>
        <v>0.48597122302158269</v>
      </c>
    </row>
    <row r="891" spans="1:20" x14ac:dyDescent="0.3">
      <c r="A891">
        <v>10889</v>
      </c>
      <c r="B891" t="s">
        <v>99</v>
      </c>
      <c r="C891" t="s">
        <v>606</v>
      </c>
      <c r="D891" t="s">
        <v>616</v>
      </c>
      <c r="E891" t="s">
        <v>627</v>
      </c>
      <c r="F891" t="s">
        <v>1483</v>
      </c>
      <c r="G891" t="s">
        <v>1765</v>
      </c>
      <c r="H891" t="s">
        <v>1768</v>
      </c>
      <c r="I891" t="s">
        <v>1774</v>
      </c>
      <c r="J891" t="s">
        <v>1779</v>
      </c>
      <c r="K891">
        <v>4</v>
      </c>
      <c r="L891" s="2">
        <v>1187</v>
      </c>
      <c r="M891">
        <v>0.05</v>
      </c>
      <c r="N891" s="2">
        <v>713.66</v>
      </c>
      <c r="O891" s="2">
        <v>4510.6000000000004</v>
      </c>
      <c r="P891" s="2">
        <v>2854.64</v>
      </c>
      <c r="Q891" s="2">
        <v>1655.96</v>
      </c>
      <c r="R891">
        <v>1</v>
      </c>
      <c r="S891" s="2" t="str">
        <f>TEXT(data[[#This Row],[Date]],"mmm yyyy")</f>
        <v>Nov 2025</v>
      </c>
      <c r="T891" s="8">
        <f>data[[#This Row],[Profit]]/data[[#This Row],[Revenue]]</f>
        <v>0.36712632465747347</v>
      </c>
    </row>
    <row r="892" spans="1:20" x14ac:dyDescent="0.3">
      <c r="A892">
        <v>10890</v>
      </c>
      <c r="B892" t="s">
        <v>531</v>
      </c>
      <c r="C892" t="s">
        <v>606</v>
      </c>
      <c r="D892" t="s">
        <v>620</v>
      </c>
      <c r="E892" t="s">
        <v>626</v>
      </c>
      <c r="F892" t="s">
        <v>1484</v>
      </c>
      <c r="G892" t="s">
        <v>1766</v>
      </c>
      <c r="H892" t="s">
        <v>1770</v>
      </c>
      <c r="I892" t="s">
        <v>1773</v>
      </c>
      <c r="J892" t="s">
        <v>1777</v>
      </c>
      <c r="K892">
        <v>15</v>
      </c>
      <c r="L892" s="2">
        <v>552</v>
      </c>
      <c r="M892">
        <v>0.05</v>
      </c>
      <c r="N892" s="2">
        <v>307.29000000000002</v>
      </c>
      <c r="O892" s="2">
        <v>7866</v>
      </c>
      <c r="P892" s="2">
        <v>4609.3500000000004</v>
      </c>
      <c r="Q892" s="2">
        <v>3256.65</v>
      </c>
      <c r="R892">
        <v>0</v>
      </c>
      <c r="S892" s="2" t="str">
        <f>TEXT(data[[#This Row],[Date]],"mmm yyyy")</f>
        <v>Mar 2024</v>
      </c>
      <c r="T892" s="8">
        <f>data[[#This Row],[Profit]]/data[[#This Row],[Revenue]]</f>
        <v>0.41401601830663615</v>
      </c>
    </row>
    <row r="893" spans="1:20" x14ac:dyDescent="0.3">
      <c r="A893">
        <v>10891</v>
      </c>
      <c r="B893" t="s">
        <v>93</v>
      </c>
      <c r="C893" t="s">
        <v>608</v>
      </c>
      <c r="D893" t="s">
        <v>612</v>
      </c>
      <c r="E893" t="s">
        <v>627</v>
      </c>
      <c r="F893" t="s">
        <v>1485</v>
      </c>
      <c r="G893" t="s">
        <v>1759</v>
      </c>
      <c r="H893" t="s">
        <v>1770</v>
      </c>
      <c r="I893" t="s">
        <v>1773</v>
      </c>
      <c r="J893" t="s">
        <v>1779</v>
      </c>
      <c r="K893">
        <v>10</v>
      </c>
      <c r="L893" s="2">
        <v>712</v>
      </c>
      <c r="M893">
        <v>0.05</v>
      </c>
      <c r="N893" s="2">
        <v>498.57</v>
      </c>
      <c r="O893" s="2">
        <v>6764</v>
      </c>
      <c r="P893" s="2">
        <v>4985.7</v>
      </c>
      <c r="Q893" s="2">
        <v>1778.3</v>
      </c>
      <c r="R893">
        <v>0</v>
      </c>
      <c r="S893" s="2" t="str">
        <f>TEXT(data[[#This Row],[Date]],"mmm yyyy")</f>
        <v>Sep 2024</v>
      </c>
      <c r="T893" s="8">
        <f>data[[#This Row],[Profit]]/data[[#This Row],[Revenue]]</f>
        <v>0.262906564163217</v>
      </c>
    </row>
    <row r="894" spans="1:20" x14ac:dyDescent="0.3">
      <c r="A894">
        <v>10892</v>
      </c>
      <c r="B894" t="s">
        <v>243</v>
      </c>
      <c r="C894" t="s">
        <v>608</v>
      </c>
      <c r="D894" t="s">
        <v>618</v>
      </c>
      <c r="E894" t="s">
        <v>629</v>
      </c>
      <c r="F894" t="s">
        <v>1486</v>
      </c>
      <c r="G894" t="s">
        <v>1764</v>
      </c>
      <c r="H894" t="s">
        <v>1767</v>
      </c>
      <c r="I894" t="s">
        <v>1773</v>
      </c>
      <c r="J894" t="s">
        <v>1776</v>
      </c>
      <c r="K894">
        <v>12</v>
      </c>
      <c r="L894" s="2">
        <v>124</v>
      </c>
      <c r="M894">
        <v>0.1</v>
      </c>
      <c r="N894" s="2">
        <v>68.64</v>
      </c>
      <c r="O894" s="2">
        <v>1339.2</v>
      </c>
      <c r="P894" s="2">
        <v>823.68</v>
      </c>
      <c r="Q894" s="2">
        <v>515.52</v>
      </c>
      <c r="R894">
        <v>0</v>
      </c>
      <c r="S894" s="2" t="str">
        <f>TEXT(data[[#This Row],[Date]],"mmm yyyy")</f>
        <v>Apr 2024</v>
      </c>
      <c r="T894" s="8">
        <f>data[[#This Row],[Profit]]/data[[#This Row],[Revenue]]</f>
        <v>0.38494623655913973</v>
      </c>
    </row>
    <row r="895" spans="1:20" x14ac:dyDescent="0.3">
      <c r="A895">
        <v>10893</v>
      </c>
      <c r="B895" t="s">
        <v>457</v>
      </c>
      <c r="C895" t="s">
        <v>609</v>
      </c>
      <c r="D895" t="s">
        <v>622</v>
      </c>
      <c r="E895" t="s">
        <v>629</v>
      </c>
      <c r="F895" t="s">
        <v>1487</v>
      </c>
      <c r="G895" t="s">
        <v>1761</v>
      </c>
      <c r="H895" t="s">
        <v>1771</v>
      </c>
      <c r="I895" t="s">
        <v>1773</v>
      </c>
      <c r="J895" t="s">
        <v>1778</v>
      </c>
      <c r="K895">
        <v>19</v>
      </c>
      <c r="L895" s="2">
        <v>405</v>
      </c>
      <c r="M895">
        <v>0.05</v>
      </c>
      <c r="N895" s="2">
        <v>260.86</v>
      </c>
      <c r="O895" s="2">
        <v>7310.25</v>
      </c>
      <c r="P895" s="2">
        <v>4956.34</v>
      </c>
      <c r="Q895" s="2">
        <v>2353.91</v>
      </c>
      <c r="R895">
        <v>0</v>
      </c>
      <c r="S895" s="2" t="str">
        <f>TEXT(data[[#This Row],[Date]],"mmm yyyy")</f>
        <v>Jan 2024</v>
      </c>
      <c r="T895" s="8">
        <f>data[[#This Row],[Profit]]/data[[#This Row],[Revenue]]</f>
        <v>0.32200129954515916</v>
      </c>
    </row>
    <row r="896" spans="1:20" x14ac:dyDescent="0.3">
      <c r="A896">
        <v>10894</v>
      </c>
      <c r="B896" t="s">
        <v>246</v>
      </c>
      <c r="C896" t="s">
        <v>608</v>
      </c>
      <c r="D896" t="s">
        <v>618</v>
      </c>
      <c r="E896" t="s">
        <v>629</v>
      </c>
      <c r="F896" t="s">
        <v>1488</v>
      </c>
      <c r="G896" t="s">
        <v>1765</v>
      </c>
      <c r="H896" t="s">
        <v>1772</v>
      </c>
      <c r="I896" t="s">
        <v>1773</v>
      </c>
      <c r="J896" t="s">
        <v>1779</v>
      </c>
      <c r="K896">
        <v>18</v>
      </c>
      <c r="L896" s="2">
        <v>1000</v>
      </c>
      <c r="M896">
        <v>0.2</v>
      </c>
      <c r="N896" s="2">
        <v>724.63</v>
      </c>
      <c r="O896" s="2">
        <v>14400</v>
      </c>
      <c r="P896" s="2">
        <v>13043.34</v>
      </c>
      <c r="Q896" s="2">
        <v>1356.66</v>
      </c>
      <c r="R896">
        <v>1</v>
      </c>
      <c r="S896" s="2" t="str">
        <f>TEXT(data[[#This Row],[Date]],"mmm yyyy")</f>
        <v>Jul 2025</v>
      </c>
      <c r="T896" s="8">
        <f>data[[#This Row],[Profit]]/data[[#This Row],[Revenue]]</f>
        <v>9.4212500000000005E-2</v>
      </c>
    </row>
    <row r="897" spans="1:20" x14ac:dyDescent="0.3">
      <c r="A897">
        <v>10895</v>
      </c>
      <c r="B897" t="s">
        <v>532</v>
      </c>
      <c r="C897" t="s">
        <v>609</v>
      </c>
      <c r="D897" t="s">
        <v>623</v>
      </c>
      <c r="E897" t="s">
        <v>626</v>
      </c>
      <c r="F897" t="s">
        <v>1489</v>
      </c>
      <c r="G897" t="s">
        <v>1763</v>
      </c>
      <c r="H897" t="s">
        <v>1770</v>
      </c>
      <c r="I897" t="s">
        <v>1775</v>
      </c>
      <c r="J897" t="s">
        <v>1777</v>
      </c>
      <c r="K897">
        <v>15</v>
      </c>
      <c r="L897" s="2">
        <v>874</v>
      </c>
      <c r="M897">
        <v>0.1</v>
      </c>
      <c r="N897" s="2">
        <v>618.66999999999996</v>
      </c>
      <c r="O897" s="2">
        <v>11799</v>
      </c>
      <c r="P897" s="2">
        <v>9280.0499999999993</v>
      </c>
      <c r="Q897" s="2">
        <v>2518.9499999999998</v>
      </c>
      <c r="R897">
        <v>0</v>
      </c>
      <c r="S897" s="2" t="str">
        <f>TEXT(data[[#This Row],[Date]],"mmm yyyy")</f>
        <v>May 2025</v>
      </c>
      <c r="T897" s="8">
        <f>data[[#This Row],[Profit]]/data[[#This Row],[Revenue]]</f>
        <v>0.21348843122298497</v>
      </c>
    </row>
    <row r="898" spans="1:20" x14ac:dyDescent="0.3">
      <c r="A898">
        <v>10896</v>
      </c>
      <c r="B898" t="s">
        <v>129</v>
      </c>
      <c r="C898" t="s">
        <v>607</v>
      </c>
      <c r="D898" t="s">
        <v>611</v>
      </c>
      <c r="E898" t="s">
        <v>628</v>
      </c>
      <c r="F898" t="s">
        <v>1490</v>
      </c>
      <c r="G898" t="s">
        <v>1760</v>
      </c>
      <c r="H898" t="s">
        <v>1771</v>
      </c>
      <c r="I898" t="s">
        <v>1775</v>
      </c>
      <c r="J898" t="s">
        <v>1777</v>
      </c>
      <c r="K898">
        <v>1</v>
      </c>
      <c r="L898" s="2">
        <v>370</v>
      </c>
      <c r="M898">
        <v>0.05</v>
      </c>
      <c r="N898" s="2">
        <v>258.75</v>
      </c>
      <c r="O898" s="2">
        <v>351.5</v>
      </c>
      <c r="P898" s="2">
        <v>258.75</v>
      </c>
      <c r="Q898" s="2">
        <v>92.75</v>
      </c>
      <c r="R898">
        <v>0</v>
      </c>
      <c r="S898" s="2" t="str">
        <f>TEXT(data[[#This Row],[Date]],"mmm yyyy")</f>
        <v>Dec 2025</v>
      </c>
      <c r="T898" s="8">
        <f>data[[#This Row],[Profit]]/data[[#This Row],[Revenue]]</f>
        <v>0.26386913229018494</v>
      </c>
    </row>
    <row r="899" spans="1:20" x14ac:dyDescent="0.3">
      <c r="A899">
        <v>10897</v>
      </c>
      <c r="B899" t="s">
        <v>296</v>
      </c>
      <c r="C899" t="s">
        <v>606</v>
      </c>
      <c r="D899" t="s">
        <v>610</v>
      </c>
      <c r="E899" t="s">
        <v>628</v>
      </c>
      <c r="F899" t="s">
        <v>1491</v>
      </c>
      <c r="G899" t="s">
        <v>1761</v>
      </c>
      <c r="H899" t="s">
        <v>1767</v>
      </c>
      <c r="I899" t="s">
        <v>1774</v>
      </c>
      <c r="J899" t="s">
        <v>1777</v>
      </c>
      <c r="K899">
        <v>20</v>
      </c>
      <c r="L899" s="2">
        <v>150</v>
      </c>
      <c r="M899">
        <v>0.15</v>
      </c>
      <c r="N899" s="2">
        <v>77.52</v>
      </c>
      <c r="O899" s="2">
        <v>2550</v>
      </c>
      <c r="P899" s="2">
        <v>1550.4</v>
      </c>
      <c r="Q899" s="2">
        <v>999.6</v>
      </c>
      <c r="R899">
        <v>0</v>
      </c>
      <c r="S899" s="2" t="str">
        <f>TEXT(data[[#This Row],[Date]],"mmm yyyy")</f>
        <v>Mar 2025</v>
      </c>
      <c r="T899" s="8">
        <f>data[[#This Row],[Profit]]/data[[#This Row],[Revenue]]</f>
        <v>0.39200000000000002</v>
      </c>
    </row>
    <row r="900" spans="1:20" x14ac:dyDescent="0.3">
      <c r="A900">
        <v>10898</v>
      </c>
      <c r="B900" t="s">
        <v>140</v>
      </c>
      <c r="C900" t="s">
        <v>606</v>
      </c>
      <c r="D900" t="s">
        <v>616</v>
      </c>
      <c r="E900" t="s">
        <v>626</v>
      </c>
      <c r="F900" t="s">
        <v>1492</v>
      </c>
      <c r="G900" t="s">
        <v>1763</v>
      </c>
      <c r="H900" t="s">
        <v>1769</v>
      </c>
      <c r="I900" t="s">
        <v>1775</v>
      </c>
      <c r="J900" t="s">
        <v>1777</v>
      </c>
      <c r="K900">
        <v>4</v>
      </c>
      <c r="L900" s="2">
        <v>307</v>
      </c>
      <c r="M900">
        <v>0.1</v>
      </c>
      <c r="N900" s="2">
        <v>180.76</v>
      </c>
      <c r="O900" s="2">
        <v>1105.2</v>
      </c>
      <c r="P900" s="2">
        <v>723.04</v>
      </c>
      <c r="Q900" s="2">
        <v>382.16</v>
      </c>
      <c r="R900">
        <v>0</v>
      </c>
      <c r="S900" s="2" t="str">
        <f>TEXT(data[[#This Row],[Date]],"mmm yyyy")</f>
        <v>Mar 2024</v>
      </c>
      <c r="T900" s="8">
        <f>data[[#This Row],[Profit]]/data[[#This Row],[Revenue]]</f>
        <v>0.34578356858487153</v>
      </c>
    </row>
    <row r="901" spans="1:20" x14ac:dyDescent="0.3">
      <c r="A901">
        <v>10899</v>
      </c>
      <c r="B901" t="s">
        <v>178</v>
      </c>
      <c r="C901" t="s">
        <v>607</v>
      </c>
      <c r="D901" t="s">
        <v>624</v>
      </c>
      <c r="E901" t="s">
        <v>629</v>
      </c>
      <c r="F901" t="s">
        <v>839</v>
      </c>
      <c r="G901" t="s">
        <v>1759</v>
      </c>
      <c r="H901" t="s">
        <v>1768</v>
      </c>
      <c r="I901" t="s">
        <v>1773</v>
      </c>
      <c r="J901" t="s">
        <v>1777</v>
      </c>
      <c r="K901">
        <v>1</v>
      </c>
      <c r="L901" s="2">
        <v>945</v>
      </c>
      <c r="M901">
        <v>0.1</v>
      </c>
      <c r="N901" s="2">
        <v>597.82000000000005</v>
      </c>
      <c r="O901" s="2">
        <v>850.5</v>
      </c>
      <c r="P901" s="2">
        <v>597.82000000000005</v>
      </c>
      <c r="Q901" s="2">
        <v>252.68</v>
      </c>
      <c r="R901">
        <v>0</v>
      </c>
      <c r="S901" s="2" t="str">
        <f>TEXT(data[[#This Row],[Date]],"mmm yyyy")</f>
        <v>Dec 2024</v>
      </c>
      <c r="T901" s="8">
        <f>data[[#This Row],[Profit]]/data[[#This Row],[Revenue]]</f>
        <v>0.2970958259847149</v>
      </c>
    </row>
    <row r="902" spans="1:20" x14ac:dyDescent="0.3">
      <c r="A902">
        <v>10900</v>
      </c>
      <c r="B902" t="s">
        <v>249</v>
      </c>
      <c r="C902" t="s">
        <v>608</v>
      </c>
      <c r="D902" t="s">
        <v>615</v>
      </c>
      <c r="E902" t="s">
        <v>626</v>
      </c>
      <c r="F902" t="s">
        <v>1493</v>
      </c>
      <c r="G902" t="s">
        <v>1765</v>
      </c>
      <c r="H902" t="s">
        <v>1771</v>
      </c>
      <c r="I902" t="s">
        <v>1775</v>
      </c>
      <c r="J902" t="s">
        <v>1778</v>
      </c>
      <c r="K902">
        <v>3</v>
      </c>
      <c r="L902" s="2">
        <v>598</v>
      </c>
      <c r="M902">
        <v>0.1</v>
      </c>
      <c r="N902" s="2">
        <v>314.8</v>
      </c>
      <c r="O902" s="2">
        <v>1614.6</v>
      </c>
      <c r="P902" s="2">
        <v>944.4</v>
      </c>
      <c r="Q902" s="2">
        <v>670.2</v>
      </c>
      <c r="R902">
        <v>0</v>
      </c>
      <c r="S902" s="2" t="str">
        <f>TEXT(data[[#This Row],[Date]],"mmm yyyy")</f>
        <v>Dec 2025</v>
      </c>
      <c r="T902" s="8">
        <f>data[[#This Row],[Profit]]/data[[#This Row],[Revenue]]</f>
        <v>0.41508732813080645</v>
      </c>
    </row>
    <row r="903" spans="1:20" x14ac:dyDescent="0.3">
      <c r="A903">
        <v>10901</v>
      </c>
      <c r="B903" t="s">
        <v>146</v>
      </c>
      <c r="C903" t="s">
        <v>608</v>
      </c>
      <c r="D903" t="s">
        <v>615</v>
      </c>
      <c r="E903" t="s">
        <v>628</v>
      </c>
      <c r="F903" t="s">
        <v>1494</v>
      </c>
      <c r="G903" t="s">
        <v>1759</v>
      </c>
      <c r="H903" t="s">
        <v>1769</v>
      </c>
      <c r="I903" t="s">
        <v>1773</v>
      </c>
      <c r="J903" t="s">
        <v>1779</v>
      </c>
      <c r="K903">
        <v>11</v>
      </c>
      <c r="L903" s="2">
        <v>485</v>
      </c>
      <c r="M903">
        <v>0</v>
      </c>
      <c r="N903" s="2">
        <v>249.13</v>
      </c>
      <c r="O903" s="2">
        <v>5335</v>
      </c>
      <c r="P903" s="2">
        <v>2740.43</v>
      </c>
      <c r="Q903" s="2">
        <v>2594.5700000000002</v>
      </c>
      <c r="R903">
        <v>1</v>
      </c>
      <c r="S903" s="2" t="str">
        <f>TEXT(data[[#This Row],[Date]],"mmm yyyy")</f>
        <v>Oct 2024</v>
      </c>
      <c r="T903" s="8">
        <f>data[[#This Row],[Profit]]/data[[#This Row],[Revenue]]</f>
        <v>0.48632989690721651</v>
      </c>
    </row>
    <row r="904" spans="1:20" x14ac:dyDescent="0.3">
      <c r="A904">
        <v>10902</v>
      </c>
      <c r="B904" t="s">
        <v>459</v>
      </c>
      <c r="C904" t="s">
        <v>608</v>
      </c>
      <c r="D904" t="s">
        <v>618</v>
      </c>
      <c r="E904" t="s">
        <v>626</v>
      </c>
      <c r="F904" t="s">
        <v>1495</v>
      </c>
      <c r="G904" t="s">
        <v>1761</v>
      </c>
      <c r="H904" t="s">
        <v>1772</v>
      </c>
      <c r="I904" t="s">
        <v>1774</v>
      </c>
      <c r="J904" t="s">
        <v>1779</v>
      </c>
      <c r="K904">
        <v>19</v>
      </c>
      <c r="L904" s="2">
        <v>1186</v>
      </c>
      <c r="M904">
        <v>0.2</v>
      </c>
      <c r="N904" s="2">
        <v>848.61</v>
      </c>
      <c r="O904" s="2">
        <v>18027.2</v>
      </c>
      <c r="P904" s="2">
        <v>16123.59</v>
      </c>
      <c r="Q904" s="2">
        <v>1903.61</v>
      </c>
      <c r="R904">
        <v>0</v>
      </c>
      <c r="S904" s="2" t="str">
        <f>TEXT(data[[#This Row],[Date]],"mmm yyyy")</f>
        <v>Jun 2024</v>
      </c>
      <c r="T904" s="8">
        <f>data[[#This Row],[Profit]]/data[[#This Row],[Revenue]]</f>
        <v>0.10559654300168633</v>
      </c>
    </row>
    <row r="905" spans="1:20" x14ac:dyDescent="0.3">
      <c r="A905">
        <v>10903</v>
      </c>
      <c r="B905" t="s">
        <v>533</v>
      </c>
      <c r="C905" t="s">
        <v>606</v>
      </c>
      <c r="D905" t="s">
        <v>616</v>
      </c>
      <c r="E905" t="s">
        <v>626</v>
      </c>
      <c r="F905" t="s">
        <v>1496</v>
      </c>
      <c r="G905" t="s">
        <v>1760</v>
      </c>
      <c r="H905" t="s">
        <v>1770</v>
      </c>
      <c r="I905" t="s">
        <v>1774</v>
      </c>
      <c r="J905" t="s">
        <v>1776</v>
      </c>
      <c r="K905">
        <v>20</v>
      </c>
      <c r="L905" s="2">
        <v>528</v>
      </c>
      <c r="M905">
        <v>0.05</v>
      </c>
      <c r="N905" s="2">
        <v>271.99</v>
      </c>
      <c r="O905" s="2">
        <v>10032</v>
      </c>
      <c r="P905" s="2">
        <v>5439.8</v>
      </c>
      <c r="Q905" s="2">
        <v>4592.2</v>
      </c>
      <c r="R905">
        <v>0</v>
      </c>
      <c r="S905" s="2" t="str">
        <f>TEXT(data[[#This Row],[Date]],"mmm yyyy")</f>
        <v>Dec 2025</v>
      </c>
      <c r="T905" s="8">
        <f>data[[#This Row],[Profit]]/data[[#This Row],[Revenue]]</f>
        <v>0.45775518341307814</v>
      </c>
    </row>
    <row r="906" spans="1:20" x14ac:dyDescent="0.3">
      <c r="A906">
        <v>10904</v>
      </c>
      <c r="B906" t="s">
        <v>451</v>
      </c>
      <c r="C906" t="s">
        <v>609</v>
      </c>
      <c r="D906" t="s">
        <v>622</v>
      </c>
      <c r="E906" t="s">
        <v>629</v>
      </c>
      <c r="F906" t="s">
        <v>1497</v>
      </c>
      <c r="G906" t="s">
        <v>1765</v>
      </c>
      <c r="H906" t="s">
        <v>1768</v>
      </c>
      <c r="I906" t="s">
        <v>1773</v>
      </c>
      <c r="J906" t="s">
        <v>1777</v>
      </c>
      <c r="K906">
        <v>13</v>
      </c>
      <c r="L906" s="2">
        <v>1364</v>
      </c>
      <c r="M906">
        <v>0</v>
      </c>
      <c r="N906" s="2">
        <v>753.82</v>
      </c>
      <c r="O906" s="2">
        <v>17732</v>
      </c>
      <c r="P906" s="2">
        <v>9799.66</v>
      </c>
      <c r="Q906" s="2">
        <v>7932.34</v>
      </c>
      <c r="R906">
        <v>1</v>
      </c>
      <c r="S906" s="2" t="str">
        <f>TEXT(data[[#This Row],[Date]],"mmm yyyy")</f>
        <v>Aug 2024</v>
      </c>
      <c r="T906" s="8">
        <f>data[[#This Row],[Profit]]/data[[#This Row],[Revenue]]</f>
        <v>0.44734604105571846</v>
      </c>
    </row>
    <row r="907" spans="1:20" x14ac:dyDescent="0.3">
      <c r="A907">
        <v>10905</v>
      </c>
      <c r="B907" t="s">
        <v>339</v>
      </c>
      <c r="C907" t="s">
        <v>608</v>
      </c>
      <c r="D907" t="s">
        <v>615</v>
      </c>
      <c r="E907" t="s">
        <v>628</v>
      </c>
      <c r="F907" t="s">
        <v>1498</v>
      </c>
      <c r="G907" t="s">
        <v>1765</v>
      </c>
      <c r="H907" t="s">
        <v>1770</v>
      </c>
      <c r="I907" t="s">
        <v>1775</v>
      </c>
      <c r="J907" t="s">
        <v>1776</v>
      </c>
      <c r="K907">
        <v>9</v>
      </c>
      <c r="L907" s="2">
        <v>861</v>
      </c>
      <c r="M907">
        <v>0</v>
      </c>
      <c r="N907" s="2">
        <v>519.1</v>
      </c>
      <c r="O907" s="2">
        <v>7749</v>
      </c>
      <c r="P907" s="2">
        <v>4671.8999999999996</v>
      </c>
      <c r="Q907" s="2">
        <v>3077.1</v>
      </c>
      <c r="R907">
        <v>0</v>
      </c>
      <c r="S907" s="2" t="str">
        <f>TEXT(data[[#This Row],[Date]],"mmm yyyy")</f>
        <v>Aug 2025</v>
      </c>
      <c r="T907" s="8">
        <f>data[[#This Row],[Profit]]/data[[#This Row],[Revenue]]</f>
        <v>0.39709639953542392</v>
      </c>
    </row>
    <row r="908" spans="1:20" x14ac:dyDescent="0.3">
      <c r="A908">
        <v>10906</v>
      </c>
      <c r="B908" t="s">
        <v>486</v>
      </c>
      <c r="C908" t="s">
        <v>607</v>
      </c>
      <c r="D908" t="s">
        <v>624</v>
      </c>
      <c r="E908" t="s">
        <v>626</v>
      </c>
      <c r="F908" t="s">
        <v>1499</v>
      </c>
      <c r="G908" t="s">
        <v>1765</v>
      </c>
      <c r="H908" t="s">
        <v>1767</v>
      </c>
      <c r="I908" t="s">
        <v>1774</v>
      </c>
      <c r="J908" t="s">
        <v>1776</v>
      </c>
      <c r="K908">
        <v>2</v>
      </c>
      <c r="L908" s="2">
        <v>195</v>
      </c>
      <c r="M908">
        <v>0.05</v>
      </c>
      <c r="N908" s="2">
        <v>125.67</v>
      </c>
      <c r="O908" s="2">
        <v>370.5</v>
      </c>
      <c r="P908" s="2">
        <v>251.34</v>
      </c>
      <c r="Q908" s="2">
        <v>119.16</v>
      </c>
      <c r="R908">
        <v>0</v>
      </c>
      <c r="S908" s="2" t="str">
        <f>TEXT(data[[#This Row],[Date]],"mmm yyyy")</f>
        <v>Mar 2025</v>
      </c>
      <c r="T908" s="8">
        <f>data[[#This Row],[Profit]]/data[[#This Row],[Revenue]]</f>
        <v>0.32161943319838054</v>
      </c>
    </row>
    <row r="909" spans="1:20" x14ac:dyDescent="0.3">
      <c r="A909">
        <v>10907</v>
      </c>
      <c r="B909" t="s">
        <v>534</v>
      </c>
      <c r="C909" t="s">
        <v>608</v>
      </c>
      <c r="D909" t="s">
        <v>618</v>
      </c>
      <c r="E909" t="s">
        <v>627</v>
      </c>
      <c r="F909" t="s">
        <v>1500</v>
      </c>
      <c r="G909" t="s">
        <v>1765</v>
      </c>
      <c r="H909" t="s">
        <v>1767</v>
      </c>
      <c r="I909" t="s">
        <v>1775</v>
      </c>
      <c r="J909" t="s">
        <v>1777</v>
      </c>
      <c r="K909">
        <v>10</v>
      </c>
      <c r="L909" s="2">
        <v>129</v>
      </c>
      <c r="M909">
        <v>0.15</v>
      </c>
      <c r="N909" s="2">
        <v>77.12</v>
      </c>
      <c r="O909" s="2">
        <v>1096.5</v>
      </c>
      <c r="P909" s="2">
        <v>771.2</v>
      </c>
      <c r="Q909" s="2">
        <v>325.3</v>
      </c>
      <c r="R909">
        <v>0</v>
      </c>
      <c r="S909" s="2" t="str">
        <f>TEXT(data[[#This Row],[Date]],"mmm yyyy")</f>
        <v>Sep 2024</v>
      </c>
      <c r="T909" s="8">
        <f>data[[#This Row],[Profit]]/data[[#This Row],[Revenue]]</f>
        <v>0.29667122663018697</v>
      </c>
    </row>
    <row r="910" spans="1:20" x14ac:dyDescent="0.3">
      <c r="A910">
        <v>10908</v>
      </c>
      <c r="B910" t="s">
        <v>535</v>
      </c>
      <c r="C910" t="s">
        <v>606</v>
      </c>
      <c r="D910" t="s">
        <v>620</v>
      </c>
      <c r="E910" t="s">
        <v>629</v>
      </c>
      <c r="F910" t="s">
        <v>1501</v>
      </c>
      <c r="G910" t="s">
        <v>1766</v>
      </c>
      <c r="H910" t="s">
        <v>1770</v>
      </c>
      <c r="I910" t="s">
        <v>1775</v>
      </c>
      <c r="J910" t="s">
        <v>1776</v>
      </c>
      <c r="K910">
        <v>18</v>
      </c>
      <c r="L910" s="2">
        <v>460</v>
      </c>
      <c r="M910">
        <v>0.05</v>
      </c>
      <c r="N910" s="2">
        <v>317.58999999999997</v>
      </c>
      <c r="O910" s="2">
        <v>7866</v>
      </c>
      <c r="P910" s="2">
        <v>5716.62</v>
      </c>
      <c r="Q910" s="2">
        <v>2149.38</v>
      </c>
      <c r="R910">
        <v>0</v>
      </c>
      <c r="S910" s="2" t="str">
        <f>TEXT(data[[#This Row],[Date]],"mmm yyyy")</f>
        <v>Sep 2024</v>
      </c>
      <c r="T910" s="8">
        <f>data[[#This Row],[Profit]]/data[[#This Row],[Revenue]]</f>
        <v>0.27324942791762014</v>
      </c>
    </row>
    <row r="911" spans="1:20" x14ac:dyDescent="0.3">
      <c r="A911">
        <v>10909</v>
      </c>
      <c r="B911" t="s">
        <v>466</v>
      </c>
      <c r="C911" t="s">
        <v>608</v>
      </c>
      <c r="D911" t="s">
        <v>618</v>
      </c>
      <c r="E911" t="s">
        <v>629</v>
      </c>
      <c r="F911" t="s">
        <v>1387</v>
      </c>
      <c r="G911" t="s">
        <v>1763</v>
      </c>
      <c r="H911" t="s">
        <v>1767</v>
      </c>
      <c r="I911" t="s">
        <v>1773</v>
      </c>
      <c r="J911" t="s">
        <v>1777</v>
      </c>
      <c r="K911">
        <v>13</v>
      </c>
      <c r="L911" s="2">
        <v>276</v>
      </c>
      <c r="M911">
        <v>0.05</v>
      </c>
      <c r="N911" s="2">
        <v>186.16</v>
      </c>
      <c r="O911" s="2">
        <v>3408.6</v>
      </c>
      <c r="P911" s="2">
        <v>2420.08</v>
      </c>
      <c r="Q911" s="2">
        <v>988.52</v>
      </c>
      <c r="R911">
        <v>0</v>
      </c>
      <c r="S911" s="2" t="str">
        <f>TEXT(data[[#This Row],[Date]],"mmm yyyy")</f>
        <v>May 2024</v>
      </c>
      <c r="T911" s="8">
        <f>data[[#This Row],[Profit]]/data[[#This Row],[Revenue]]</f>
        <v>0.29000762776506483</v>
      </c>
    </row>
    <row r="912" spans="1:20" x14ac:dyDescent="0.3">
      <c r="A912">
        <v>10910</v>
      </c>
      <c r="B912" t="s">
        <v>536</v>
      </c>
      <c r="C912" t="s">
        <v>606</v>
      </c>
      <c r="D912" t="s">
        <v>625</v>
      </c>
      <c r="E912" t="s">
        <v>626</v>
      </c>
      <c r="F912" t="s">
        <v>731</v>
      </c>
      <c r="G912" t="s">
        <v>1764</v>
      </c>
      <c r="H912" t="s">
        <v>1769</v>
      </c>
      <c r="I912" t="s">
        <v>1775</v>
      </c>
      <c r="J912" t="s">
        <v>1777</v>
      </c>
      <c r="K912">
        <v>1</v>
      </c>
      <c r="L912" s="2">
        <v>492</v>
      </c>
      <c r="M912">
        <v>0.05</v>
      </c>
      <c r="N912" s="2">
        <v>361.55</v>
      </c>
      <c r="O912" s="2">
        <v>467.4</v>
      </c>
      <c r="P912" s="2">
        <v>361.55</v>
      </c>
      <c r="Q912" s="2">
        <v>105.85</v>
      </c>
      <c r="R912">
        <v>0</v>
      </c>
      <c r="S912" s="2" t="str">
        <f>TEXT(data[[#This Row],[Date]],"mmm yyyy")</f>
        <v>Nov 2025</v>
      </c>
      <c r="T912" s="8">
        <f>data[[#This Row],[Profit]]/data[[#This Row],[Revenue]]</f>
        <v>0.2264655541292255</v>
      </c>
    </row>
    <row r="913" spans="1:20" x14ac:dyDescent="0.3">
      <c r="A913">
        <v>10911</v>
      </c>
      <c r="B913" t="s">
        <v>132</v>
      </c>
      <c r="C913" t="s">
        <v>609</v>
      </c>
      <c r="D913" t="s">
        <v>622</v>
      </c>
      <c r="E913" t="s">
        <v>626</v>
      </c>
      <c r="F913" t="s">
        <v>1502</v>
      </c>
      <c r="G913" t="s">
        <v>1765</v>
      </c>
      <c r="H913" t="s">
        <v>1772</v>
      </c>
      <c r="I913" t="s">
        <v>1774</v>
      </c>
      <c r="J913" t="s">
        <v>1778</v>
      </c>
      <c r="K913">
        <v>3</v>
      </c>
      <c r="L913" s="2">
        <v>689</v>
      </c>
      <c r="M913">
        <v>0.15</v>
      </c>
      <c r="N913" s="2">
        <v>354.76</v>
      </c>
      <c r="O913" s="2">
        <v>1756.95</v>
      </c>
      <c r="P913" s="2">
        <v>1064.28</v>
      </c>
      <c r="Q913" s="2">
        <v>692.67</v>
      </c>
      <c r="R913">
        <v>0</v>
      </c>
      <c r="S913" s="2" t="str">
        <f>TEXT(data[[#This Row],[Date]],"mmm yyyy")</f>
        <v>Oct 2024</v>
      </c>
      <c r="T913" s="8">
        <f>data[[#This Row],[Profit]]/data[[#This Row],[Revenue]]</f>
        <v>0.39424570989498842</v>
      </c>
    </row>
    <row r="914" spans="1:20" x14ac:dyDescent="0.3">
      <c r="A914">
        <v>10912</v>
      </c>
      <c r="B914" t="s">
        <v>537</v>
      </c>
      <c r="C914" t="s">
        <v>608</v>
      </c>
      <c r="D914" t="s">
        <v>612</v>
      </c>
      <c r="E914" t="s">
        <v>627</v>
      </c>
      <c r="F914" t="s">
        <v>1490</v>
      </c>
      <c r="G914" t="s">
        <v>1761</v>
      </c>
      <c r="H914" t="s">
        <v>1772</v>
      </c>
      <c r="I914" t="s">
        <v>1773</v>
      </c>
      <c r="J914" t="s">
        <v>1778</v>
      </c>
      <c r="K914">
        <v>6</v>
      </c>
      <c r="L914" s="2">
        <v>860</v>
      </c>
      <c r="M914">
        <v>0.15</v>
      </c>
      <c r="N914" s="2">
        <v>560.04999999999995</v>
      </c>
      <c r="O914" s="2">
        <v>4386</v>
      </c>
      <c r="P914" s="2">
        <v>3360.3</v>
      </c>
      <c r="Q914" s="2">
        <v>1025.7</v>
      </c>
      <c r="R914">
        <v>0</v>
      </c>
      <c r="S914" s="2" t="str">
        <f>TEXT(data[[#This Row],[Date]],"mmm yyyy")</f>
        <v>Jun 2025</v>
      </c>
      <c r="T914" s="8">
        <f>data[[#This Row],[Profit]]/data[[#This Row],[Revenue]]</f>
        <v>0.23385772913816691</v>
      </c>
    </row>
    <row r="915" spans="1:20" x14ac:dyDescent="0.3">
      <c r="A915">
        <v>10913</v>
      </c>
      <c r="B915" t="s">
        <v>374</v>
      </c>
      <c r="C915" t="s">
        <v>609</v>
      </c>
      <c r="D915" t="s">
        <v>623</v>
      </c>
      <c r="E915" t="s">
        <v>628</v>
      </c>
      <c r="F915" t="s">
        <v>1503</v>
      </c>
      <c r="G915" t="s">
        <v>1763</v>
      </c>
      <c r="H915" t="s">
        <v>1769</v>
      </c>
      <c r="I915" t="s">
        <v>1775</v>
      </c>
      <c r="J915" t="s">
        <v>1779</v>
      </c>
      <c r="K915">
        <v>17</v>
      </c>
      <c r="L915" s="2">
        <v>293</v>
      </c>
      <c r="M915">
        <v>0</v>
      </c>
      <c r="N915" s="2">
        <v>199.53</v>
      </c>
      <c r="O915" s="2">
        <v>4981</v>
      </c>
      <c r="P915" s="2">
        <v>3392.01</v>
      </c>
      <c r="Q915" s="2">
        <v>1588.99</v>
      </c>
      <c r="R915">
        <v>0</v>
      </c>
      <c r="S915" s="2" t="str">
        <f>TEXT(data[[#This Row],[Date]],"mmm yyyy")</f>
        <v>Nov 2024</v>
      </c>
      <c r="T915" s="8">
        <f>data[[#This Row],[Profit]]/data[[#This Row],[Revenue]]</f>
        <v>0.31901023890784985</v>
      </c>
    </row>
    <row r="916" spans="1:20" x14ac:dyDescent="0.3">
      <c r="A916">
        <v>10914</v>
      </c>
      <c r="B916" t="s">
        <v>538</v>
      </c>
      <c r="C916" t="s">
        <v>608</v>
      </c>
      <c r="D916" t="s">
        <v>615</v>
      </c>
      <c r="E916" t="s">
        <v>627</v>
      </c>
      <c r="F916" t="s">
        <v>1504</v>
      </c>
      <c r="G916" t="s">
        <v>1764</v>
      </c>
      <c r="H916" t="s">
        <v>1768</v>
      </c>
      <c r="I916" t="s">
        <v>1773</v>
      </c>
      <c r="J916" t="s">
        <v>1777</v>
      </c>
      <c r="K916">
        <v>2</v>
      </c>
      <c r="L916" s="2">
        <v>832</v>
      </c>
      <c r="M916">
        <v>0.2</v>
      </c>
      <c r="N916" s="2">
        <v>454.29</v>
      </c>
      <c r="O916" s="2">
        <v>1331.2</v>
      </c>
      <c r="P916" s="2">
        <v>908.58</v>
      </c>
      <c r="Q916" s="2">
        <v>422.62</v>
      </c>
      <c r="R916">
        <v>0</v>
      </c>
      <c r="S916" s="2" t="str">
        <f>TEXT(data[[#This Row],[Date]],"mmm yyyy")</f>
        <v>Jan 2024</v>
      </c>
      <c r="T916" s="8">
        <f>data[[#This Row],[Profit]]/data[[#This Row],[Revenue]]</f>
        <v>0.3174729567307692</v>
      </c>
    </row>
    <row r="917" spans="1:20" x14ac:dyDescent="0.3">
      <c r="A917">
        <v>10915</v>
      </c>
      <c r="B917" t="s">
        <v>539</v>
      </c>
      <c r="C917" t="s">
        <v>609</v>
      </c>
      <c r="D917" t="s">
        <v>613</v>
      </c>
      <c r="E917" t="s">
        <v>629</v>
      </c>
      <c r="F917" t="s">
        <v>1505</v>
      </c>
      <c r="G917" t="s">
        <v>1765</v>
      </c>
      <c r="H917" t="s">
        <v>1769</v>
      </c>
      <c r="I917" t="s">
        <v>1775</v>
      </c>
      <c r="J917" t="s">
        <v>1776</v>
      </c>
      <c r="K917">
        <v>18</v>
      </c>
      <c r="L917" s="2">
        <v>220</v>
      </c>
      <c r="M917">
        <v>0.15</v>
      </c>
      <c r="N917" s="2">
        <v>113.11</v>
      </c>
      <c r="O917" s="2">
        <v>3366</v>
      </c>
      <c r="P917" s="2">
        <v>2035.98</v>
      </c>
      <c r="Q917" s="2">
        <v>1330.02</v>
      </c>
      <c r="R917">
        <v>0</v>
      </c>
      <c r="S917" s="2" t="str">
        <f>TEXT(data[[#This Row],[Date]],"mmm yyyy")</f>
        <v>Jul 2024</v>
      </c>
      <c r="T917" s="8">
        <f>data[[#This Row],[Profit]]/data[[#This Row],[Revenue]]</f>
        <v>0.3951336898395722</v>
      </c>
    </row>
    <row r="918" spans="1:20" x14ac:dyDescent="0.3">
      <c r="A918">
        <v>10916</v>
      </c>
      <c r="B918" t="s">
        <v>260</v>
      </c>
      <c r="C918" t="s">
        <v>606</v>
      </c>
      <c r="D918" t="s">
        <v>610</v>
      </c>
      <c r="E918" t="s">
        <v>627</v>
      </c>
      <c r="F918" t="s">
        <v>1506</v>
      </c>
      <c r="G918" t="s">
        <v>1761</v>
      </c>
      <c r="H918" t="s">
        <v>1772</v>
      </c>
      <c r="I918" t="s">
        <v>1773</v>
      </c>
      <c r="J918" t="s">
        <v>1779</v>
      </c>
      <c r="K918">
        <v>5</v>
      </c>
      <c r="L918" s="2">
        <v>521</v>
      </c>
      <c r="M918">
        <v>0.1</v>
      </c>
      <c r="N918" s="2">
        <v>362.47</v>
      </c>
      <c r="O918" s="2">
        <v>2344.5</v>
      </c>
      <c r="P918" s="2">
        <v>1812.35</v>
      </c>
      <c r="Q918" s="2">
        <v>532.15</v>
      </c>
      <c r="R918">
        <v>0</v>
      </c>
      <c r="S918" s="2" t="str">
        <f>TEXT(data[[#This Row],[Date]],"mmm yyyy")</f>
        <v>May 2024</v>
      </c>
      <c r="T918" s="8">
        <f>data[[#This Row],[Profit]]/data[[#This Row],[Revenue]]</f>
        <v>0.22697803369588399</v>
      </c>
    </row>
    <row r="919" spans="1:20" x14ac:dyDescent="0.3">
      <c r="A919">
        <v>10917</v>
      </c>
      <c r="B919" t="s">
        <v>207</v>
      </c>
      <c r="C919" t="s">
        <v>609</v>
      </c>
      <c r="D919" t="s">
        <v>623</v>
      </c>
      <c r="E919" t="s">
        <v>626</v>
      </c>
      <c r="F919" t="s">
        <v>1507</v>
      </c>
      <c r="G919" t="s">
        <v>1763</v>
      </c>
      <c r="H919" t="s">
        <v>1769</v>
      </c>
      <c r="I919" t="s">
        <v>1773</v>
      </c>
      <c r="J919" t="s">
        <v>1776</v>
      </c>
      <c r="K919">
        <v>9</v>
      </c>
      <c r="L919" s="2">
        <v>457</v>
      </c>
      <c r="M919">
        <v>0.1</v>
      </c>
      <c r="N919" s="2">
        <v>252.76</v>
      </c>
      <c r="O919" s="2">
        <v>3701.7</v>
      </c>
      <c r="P919" s="2">
        <v>2274.84</v>
      </c>
      <c r="Q919" s="2">
        <v>1426.86</v>
      </c>
      <c r="R919">
        <v>1</v>
      </c>
      <c r="S919" s="2" t="str">
        <f>TEXT(data[[#This Row],[Date]],"mmm yyyy")</f>
        <v>Nov 2024</v>
      </c>
      <c r="T919" s="8">
        <f>data[[#This Row],[Profit]]/data[[#This Row],[Revenue]]</f>
        <v>0.38546073425723315</v>
      </c>
    </row>
    <row r="920" spans="1:20" x14ac:dyDescent="0.3">
      <c r="A920">
        <v>10918</v>
      </c>
      <c r="B920" t="s">
        <v>460</v>
      </c>
      <c r="C920" t="s">
        <v>608</v>
      </c>
      <c r="D920" t="s">
        <v>614</v>
      </c>
      <c r="E920" t="s">
        <v>627</v>
      </c>
      <c r="F920" t="s">
        <v>1508</v>
      </c>
      <c r="G920" t="s">
        <v>1761</v>
      </c>
      <c r="H920" t="s">
        <v>1768</v>
      </c>
      <c r="I920" t="s">
        <v>1774</v>
      </c>
      <c r="J920" t="s">
        <v>1779</v>
      </c>
      <c r="K920">
        <v>10</v>
      </c>
      <c r="L920" s="2">
        <v>873</v>
      </c>
      <c r="M920">
        <v>0.2</v>
      </c>
      <c r="N920" s="2">
        <v>566.44000000000005</v>
      </c>
      <c r="O920" s="2">
        <v>6984</v>
      </c>
      <c r="P920" s="2">
        <v>5664.4</v>
      </c>
      <c r="Q920" s="2">
        <v>1319.6</v>
      </c>
      <c r="R920">
        <v>0</v>
      </c>
      <c r="S920" s="2" t="str">
        <f>TEXT(data[[#This Row],[Date]],"mmm yyyy")</f>
        <v>Nov 2024</v>
      </c>
      <c r="T920" s="8">
        <f>data[[#This Row],[Profit]]/data[[#This Row],[Revenue]]</f>
        <v>0.18894616265750286</v>
      </c>
    </row>
    <row r="921" spans="1:20" x14ac:dyDescent="0.3">
      <c r="A921">
        <v>10919</v>
      </c>
      <c r="B921" t="s">
        <v>241</v>
      </c>
      <c r="C921" t="s">
        <v>606</v>
      </c>
      <c r="D921" t="s">
        <v>616</v>
      </c>
      <c r="E921" t="s">
        <v>628</v>
      </c>
      <c r="F921" t="s">
        <v>1509</v>
      </c>
      <c r="G921" t="s">
        <v>1762</v>
      </c>
      <c r="H921" t="s">
        <v>1772</v>
      </c>
      <c r="I921" t="s">
        <v>1773</v>
      </c>
      <c r="J921" t="s">
        <v>1777</v>
      </c>
      <c r="K921">
        <v>9</v>
      </c>
      <c r="L921" s="2">
        <v>775</v>
      </c>
      <c r="M921">
        <v>0.05</v>
      </c>
      <c r="N921" s="2">
        <v>561.53</v>
      </c>
      <c r="O921" s="2">
        <v>6626.25</v>
      </c>
      <c r="P921" s="2">
        <v>5053.7700000000004</v>
      </c>
      <c r="Q921" s="2">
        <v>1572.48</v>
      </c>
      <c r="R921">
        <v>0</v>
      </c>
      <c r="S921" s="2" t="str">
        <f>TEXT(data[[#This Row],[Date]],"mmm yyyy")</f>
        <v>Jul 2024</v>
      </c>
      <c r="T921" s="8">
        <f>data[[#This Row],[Profit]]/data[[#This Row],[Revenue]]</f>
        <v>0.23731069609507641</v>
      </c>
    </row>
    <row r="922" spans="1:20" x14ac:dyDescent="0.3">
      <c r="A922">
        <v>10920</v>
      </c>
      <c r="B922" t="s">
        <v>239</v>
      </c>
      <c r="C922" t="s">
        <v>609</v>
      </c>
      <c r="D922" t="s">
        <v>619</v>
      </c>
      <c r="E922" t="s">
        <v>629</v>
      </c>
      <c r="F922" t="s">
        <v>1510</v>
      </c>
      <c r="G922" t="s">
        <v>1761</v>
      </c>
      <c r="H922" t="s">
        <v>1768</v>
      </c>
      <c r="I922" t="s">
        <v>1774</v>
      </c>
      <c r="J922" t="s">
        <v>1777</v>
      </c>
      <c r="K922">
        <v>12</v>
      </c>
      <c r="L922" s="2">
        <v>1395</v>
      </c>
      <c r="M922">
        <v>0</v>
      </c>
      <c r="N922" s="2">
        <v>718.66</v>
      </c>
      <c r="O922" s="2">
        <v>16740</v>
      </c>
      <c r="P922" s="2">
        <v>8623.92</v>
      </c>
      <c r="Q922" s="2">
        <v>8116.08</v>
      </c>
      <c r="R922">
        <v>0</v>
      </c>
      <c r="S922" s="2" t="str">
        <f>TEXT(data[[#This Row],[Date]],"mmm yyyy")</f>
        <v>Jul 2024</v>
      </c>
      <c r="T922" s="8">
        <f>data[[#This Row],[Profit]]/data[[#This Row],[Revenue]]</f>
        <v>0.48483154121863797</v>
      </c>
    </row>
    <row r="923" spans="1:20" x14ac:dyDescent="0.3">
      <c r="A923">
        <v>10921</v>
      </c>
      <c r="B923" t="s">
        <v>540</v>
      </c>
      <c r="C923" t="s">
        <v>609</v>
      </c>
      <c r="D923" t="s">
        <v>623</v>
      </c>
      <c r="E923" t="s">
        <v>627</v>
      </c>
      <c r="F923" t="s">
        <v>1511</v>
      </c>
      <c r="G923" t="s">
        <v>1766</v>
      </c>
      <c r="H923" t="s">
        <v>1768</v>
      </c>
      <c r="I923" t="s">
        <v>1775</v>
      </c>
      <c r="J923" t="s">
        <v>1776</v>
      </c>
      <c r="K923">
        <v>10</v>
      </c>
      <c r="L923" s="2">
        <v>953</v>
      </c>
      <c r="M923">
        <v>0</v>
      </c>
      <c r="N923" s="2">
        <v>712.12</v>
      </c>
      <c r="O923" s="2">
        <v>9530</v>
      </c>
      <c r="P923" s="2">
        <v>7121.2</v>
      </c>
      <c r="Q923" s="2">
        <v>2408.8000000000002</v>
      </c>
      <c r="R923">
        <v>0</v>
      </c>
      <c r="S923" s="2" t="str">
        <f>TEXT(data[[#This Row],[Date]],"mmm yyyy")</f>
        <v>Feb 2024</v>
      </c>
      <c r="T923" s="8">
        <f>data[[#This Row],[Profit]]/data[[#This Row],[Revenue]]</f>
        <v>0.25275970619097587</v>
      </c>
    </row>
    <row r="924" spans="1:20" x14ac:dyDescent="0.3">
      <c r="A924">
        <v>10922</v>
      </c>
      <c r="B924" t="s">
        <v>282</v>
      </c>
      <c r="C924" t="s">
        <v>607</v>
      </c>
      <c r="D924" t="s">
        <v>617</v>
      </c>
      <c r="E924" t="s">
        <v>629</v>
      </c>
      <c r="F924" t="s">
        <v>1512</v>
      </c>
      <c r="G924" t="s">
        <v>1762</v>
      </c>
      <c r="H924" t="s">
        <v>1769</v>
      </c>
      <c r="I924" t="s">
        <v>1774</v>
      </c>
      <c r="J924" t="s">
        <v>1778</v>
      </c>
      <c r="K924">
        <v>9</v>
      </c>
      <c r="L924" s="2">
        <v>381</v>
      </c>
      <c r="M924">
        <v>0</v>
      </c>
      <c r="N924" s="2">
        <v>256.68</v>
      </c>
      <c r="O924" s="2">
        <v>3429</v>
      </c>
      <c r="P924" s="2">
        <v>2310.12</v>
      </c>
      <c r="Q924" s="2">
        <v>1118.8800000000001</v>
      </c>
      <c r="R924">
        <v>0</v>
      </c>
      <c r="S924" s="2" t="str">
        <f>TEXT(data[[#This Row],[Date]],"mmm yyyy")</f>
        <v>May 2024</v>
      </c>
      <c r="T924" s="8">
        <f>data[[#This Row],[Profit]]/data[[#This Row],[Revenue]]</f>
        <v>0.3262992125984252</v>
      </c>
    </row>
    <row r="925" spans="1:20" x14ac:dyDescent="0.3">
      <c r="A925">
        <v>10923</v>
      </c>
      <c r="B925" t="s">
        <v>446</v>
      </c>
      <c r="C925" t="s">
        <v>606</v>
      </c>
      <c r="D925" t="s">
        <v>616</v>
      </c>
      <c r="E925" t="s">
        <v>629</v>
      </c>
      <c r="F925" t="s">
        <v>1513</v>
      </c>
      <c r="G925" t="s">
        <v>1765</v>
      </c>
      <c r="H925" t="s">
        <v>1769</v>
      </c>
      <c r="I925" t="s">
        <v>1775</v>
      </c>
      <c r="J925" t="s">
        <v>1777</v>
      </c>
      <c r="K925">
        <v>17</v>
      </c>
      <c r="L925" s="2">
        <v>380</v>
      </c>
      <c r="M925">
        <v>0.1</v>
      </c>
      <c r="N925" s="2">
        <v>248.88</v>
      </c>
      <c r="O925" s="2">
        <v>5814</v>
      </c>
      <c r="P925" s="2">
        <v>4230.96</v>
      </c>
      <c r="Q925" s="2">
        <v>1583.04</v>
      </c>
      <c r="R925">
        <v>0</v>
      </c>
      <c r="S925" s="2" t="str">
        <f>TEXT(data[[#This Row],[Date]],"mmm yyyy")</f>
        <v>May 2025</v>
      </c>
      <c r="T925" s="8">
        <f>data[[#This Row],[Profit]]/data[[#This Row],[Revenue]]</f>
        <v>0.27228070175438596</v>
      </c>
    </row>
    <row r="926" spans="1:20" x14ac:dyDescent="0.3">
      <c r="A926">
        <v>10924</v>
      </c>
      <c r="B926" t="s">
        <v>518</v>
      </c>
      <c r="C926" t="s">
        <v>608</v>
      </c>
      <c r="D926" t="s">
        <v>614</v>
      </c>
      <c r="E926" t="s">
        <v>627</v>
      </c>
      <c r="F926" t="s">
        <v>1514</v>
      </c>
      <c r="G926" t="s">
        <v>1761</v>
      </c>
      <c r="H926" t="s">
        <v>1770</v>
      </c>
      <c r="I926" t="s">
        <v>1775</v>
      </c>
      <c r="J926" t="s">
        <v>1779</v>
      </c>
      <c r="K926">
        <v>18</v>
      </c>
      <c r="L926" s="2">
        <v>800</v>
      </c>
      <c r="M926">
        <v>0.1</v>
      </c>
      <c r="N926" s="2">
        <v>559.57000000000005</v>
      </c>
      <c r="O926" s="2">
        <v>12960</v>
      </c>
      <c r="P926" s="2">
        <v>10072.26</v>
      </c>
      <c r="Q926" s="2">
        <v>2887.74</v>
      </c>
      <c r="R926">
        <v>1</v>
      </c>
      <c r="S926" s="2" t="str">
        <f>TEXT(data[[#This Row],[Date]],"mmm yyyy")</f>
        <v>Jun 2025</v>
      </c>
      <c r="T926" s="8">
        <f>data[[#This Row],[Profit]]/data[[#This Row],[Revenue]]</f>
        <v>0.22281944444444443</v>
      </c>
    </row>
    <row r="927" spans="1:20" x14ac:dyDescent="0.3">
      <c r="A927">
        <v>10925</v>
      </c>
      <c r="B927" t="s">
        <v>109</v>
      </c>
      <c r="C927" t="s">
        <v>608</v>
      </c>
      <c r="D927" t="s">
        <v>614</v>
      </c>
      <c r="E927" t="s">
        <v>629</v>
      </c>
      <c r="F927" t="s">
        <v>1515</v>
      </c>
      <c r="G927" t="s">
        <v>1760</v>
      </c>
      <c r="H927" t="s">
        <v>1767</v>
      </c>
      <c r="I927" t="s">
        <v>1775</v>
      </c>
      <c r="J927" t="s">
        <v>1778</v>
      </c>
      <c r="K927">
        <v>14</v>
      </c>
      <c r="L927" s="2">
        <v>290</v>
      </c>
      <c r="M927">
        <v>0.2</v>
      </c>
      <c r="N927" s="2">
        <v>204.89</v>
      </c>
      <c r="O927" s="2">
        <v>3248</v>
      </c>
      <c r="P927" s="2">
        <v>2868.46</v>
      </c>
      <c r="Q927" s="2">
        <v>379.54</v>
      </c>
      <c r="R927">
        <v>1</v>
      </c>
      <c r="S927" s="2" t="str">
        <f>TEXT(data[[#This Row],[Date]],"mmm yyyy")</f>
        <v>Jul 2024</v>
      </c>
      <c r="T927" s="8">
        <f>data[[#This Row],[Profit]]/data[[#This Row],[Revenue]]</f>
        <v>0.11685344827586208</v>
      </c>
    </row>
    <row r="928" spans="1:20" x14ac:dyDescent="0.3">
      <c r="A928">
        <v>10926</v>
      </c>
      <c r="B928" t="s">
        <v>250</v>
      </c>
      <c r="C928" t="s">
        <v>608</v>
      </c>
      <c r="D928" t="s">
        <v>612</v>
      </c>
      <c r="E928" t="s">
        <v>626</v>
      </c>
      <c r="F928" t="s">
        <v>1516</v>
      </c>
      <c r="G928" t="s">
        <v>1759</v>
      </c>
      <c r="H928" t="s">
        <v>1771</v>
      </c>
      <c r="I928" t="s">
        <v>1774</v>
      </c>
      <c r="J928" t="s">
        <v>1776</v>
      </c>
      <c r="K928">
        <v>10</v>
      </c>
      <c r="L928" s="2">
        <v>620</v>
      </c>
      <c r="M928">
        <v>0</v>
      </c>
      <c r="N928" s="2">
        <v>327.7</v>
      </c>
      <c r="O928" s="2">
        <v>6200</v>
      </c>
      <c r="P928" s="2">
        <v>3277</v>
      </c>
      <c r="Q928" s="2">
        <v>2923</v>
      </c>
      <c r="R928">
        <v>0</v>
      </c>
      <c r="S928" s="2" t="str">
        <f>TEXT(data[[#This Row],[Date]],"mmm yyyy")</f>
        <v>Apr 2024</v>
      </c>
      <c r="T928" s="8">
        <f>data[[#This Row],[Profit]]/data[[#This Row],[Revenue]]</f>
        <v>0.47145161290322579</v>
      </c>
    </row>
    <row r="929" spans="1:20" x14ac:dyDescent="0.3">
      <c r="A929">
        <v>10927</v>
      </c>
      <c r="B929" t="s">
        <v>481</v>
      </c>
      <c r="C929" t="s">
        <v>606</v>
      </c>
      <c r="D929" t="s">
        <v>610</v>
      </c>
      <c r="E929" t="s">
        <v>629</v>
      </c>
      <c r="F929" t="s">
        <v>1517</v>
      </c>
      <c r="G929" t="s">
        <v>1760</v>
      </c>
      <c r="H929" t="s">
        <v>1767</v>
      </c>
      <c r="I929" t="s">
        <v>1775</v>
      </c>
      <c r="J929" t="s">
        <v>1778</v>
      </c>
      <c r="K929">
        <v>5</v>
      </c>
      <c r="L929" s="2">
        <v>94</v>
      </c>
      <c r="M929">
        <v>0</v>
      </c>
      <c r="N929" s="2">
        <v>53.19</v>
      </c>
      <c r="O929" s="2">
        <v>470</v>
      </c>
      <c r="P929" s="2">
        <v>265.95</v>
      </c>
      <c r="Q929" s="2">
        <v>204.05</v>
      </c>
      <c r="R929">
        <v>0</v>
      </c>
      <c r="S929" s="2" t="str">
        <f>TEXT(data[[#This Row],[Date]],"mmm yyyy")</f>
        <v>Feb 2025</v>
      </c>
      <c r="T929" s="8">
        <f>data[[#This Row],[Profit]]/data[[#This Row],[Revenue]]</f>
        <v>0.43414893617021277</v>
      </c>
    </row>
    <row r="930" spans="1:20" x14ac:dyDescent="0.3">
      <c r="A930">
        <v>10928</v>
      </c>
      <c r="B930" t="s">
        <v>115</v>
      </c>
      <c r="C930" t="s">
        <v>608</v>
      </c>
      <c r="D930" t="s">
        <v>614</v>
      </c>
      <c r="E930" t="s">
        <v>627</v>
      </c>
      <c r="F930" t="s">
        <v>1518</v>
      </c>
      <c r="G930" t="s">
        <v>1766</v>
      </c>
      <c r="H930" t="s">
        <v>1767</v>
      </c>
      <c r="I930" t="s">
        <v>1775</v>
      </c>
      <c r="J930" t="s">
        <v>1777</v>
      </c>
      <c r="K930">
        <v>4</v>
      </c>
      <c r="L930" s="2">
        <v>164</v>
      </c>
      <c r="M930">
        <v>0</v>
      </c>
      <c r="N930" s="2">
        <v>82.57</v>
      </c>
      <c r="O930" s="2">
        <v>656</v>
      </c>
      <c r="P930" s="2">
        <v>330.28</v>
      </c>
      <c r="Q930" s="2">
        <v>325.72000000000003</v>
      </c>
      <c r="R930">
        <v>0</v>
      </c>
      <c r="S930" s="2" t="str">
        <f>TEXT(data[[#This Row],[Date]],"mmm yyyy")</f>
        <v>May 2025</v>
      </c>
      <c r="T930" s="8">
        <f>data[[#This Row],[Profit]]/data[[#This Row],[Revenue]]</f>
        <v>0.49652439024390249</v>
      </c>
    </row>
    <row r="931" spans="1:20" x14ac:dyDescent="0.3">
      <c r="A931">
        <v>10929</v>
      </c>
      <c r="B931" t="s">
        <v>24</v>
      </c>
      <c r="C931" t="s">
        <v>608</v>
      </c>
      <c r="D931" t="s">
        <v>618</v>
      </c>
      <c r="E931" t="s">
        <v>629</v>
      </c>
      <c r="F931" t="s">
        <v>1519</v>
      </c>
      <c r="G931" t="s">
        <v>1764</v>
      </c>
      <c r="H931" t="s">
        <v>1770</v>
      </c>
      <c r="I931" t="s">
        <v>1773</v>
      </c>
      <c r="J931" t="s">
        <v>1777</v>
      </c>
      <c r="K931">
        <v>9</v>
      </c>
      <c r="L931" s="2">
        <v>677</v>
      </c>
      <c r="M931">
        <v>0.05</v>
      </c>
      <c r="N931" s="2">
        <v>393.63</v>
      </c>
      <c r="O931" s="2">
        <v>5788.35</v>
      </c>
      <c r="P931" s="2">
        <v>3542.67</v>
      </c>
      <c r="Q931" s="2">
        <v>2245.6799999999998</v>
      </c>
      <c r="R931">
        <v>0</v>
      </c>
      <c r="S931" s="2" t="str">
        <f>TEXT(data[[#This Row],[Date]],"mmm yyyy")</f>
        <v>Oct 2024</v>
      </c>
      <c r="T931" s="8">
        <f>data[[#This Row],[Profit]]/data[[#This Row],[Revenue]]</f>
        <v>0.38796548239135498</v>
      </c>
    </row>
    <row r="932" spans="1:20" x14ac:dyDescent="0.3">
      <c r="A932">
        <v>10930</v>
      </c>
      <c r="B932" t="s">
        <v>123</v>
      </c>
      <c r="C932" t="s">
        <v>607</v>
      </c>
      <c r="D932" t="s">
        <v>611</v>
      </c>
      <c r="E932" t="s">
        <v>626</v>
      </c>
      <c r="F932" t="s">
        <v>1520</v>
      </c>
      <c r="G932" t="s">
        <v>1761</v>
      </c>
      <c r="H932" t="s">
        <v>1772</v>
      </c>
      <c r="I932" t="s">
        <v>1774</v>
      </c>
      <c r="J932" t="s">
        <v>1779</v>
      </c>
      <c r="K932">
        <v>18</v>
      </c>
      <c r="L932" s="2">
        <v>668</v>
      </c>
      <c r="M932">
        <v>0</v>
      </c>
      <c r="N932" s="2">
        <v>492.1</v>
      </c>
      <c r="O932" s="2">
        <v>12024</v>
      </c>
      <c r="P932" s="2">
        <v>8857.7999999999993</v>
      </c>
      <c r="Q932" s="2">
        <v>3166.2</v>
      </c>
      <c r="R932">
        <v>0</v>
      </c>
      <c r="S932" s="2" t="str">
        <f>TEXT(data[[#This Row],[Date]],"mmm yyyy")</f>
        <v>Oct 2025</v>
      </c>
      <c r="T932" s="8">
        <f>data[[#This Row],[Profit]]/data[[#This Row],[Revenue]]</f>
        <v>0.26332335329341316</v>
      </c>
    </row>
    <row r="933" spans="1:20" x14ac:dyDescent="0.3">
      <c r="A933">
        <v>10931</v>
      </c>
      <c r="B933" t="s">
        <v>541</v>
      </c>
      <c r="C933" t="s">
        <v>607</v>
      </c>
      <c r="D933" t="s">
        <v>617</v>
      </c>
      <c r="E933" t="s">
        <v>626</v>
      </c>
      <c r="F933" t="s">
        <v>1521</v>
      </c>
      <c r="G933" t="s">
        <v>1760</v>
      </c>
      <c r="H933" t="s">
        <v>1771</v>
      </c>
      <c r="I933" t="s">
        <v>1773</v>
      </c>
      <c r="J933" t="s">
        <v>1779</v>
      </c>
      <c r="K933">
        <v>18</v>
      </c>
      <c r="L933" s="2">
        <v>492</v>
      </c>
      <c r="M933">
        <v>0.15</v>
      </c>
      <c r="N933" s="2">
        <v>300.49</v>
      </c>
      <c r="O933" s="2">
        <v>7527.6</v>
      </c>
      <c r="P933" s="2">
        <v>5408.82</v>
      </c>
      <c r="Q933" s="2">
        <v>2118.7800000000002</v>
      </c>
      <c r="R933">
        <v>0</v>
      </c>
      <c r="S933" s="2" t="str">
        <f>TEXT(data[[#This Row],[Date]],"mmm yyyy")</f>
        <v>May 2024</v>
      </c>
      <c r="T933" s="8">
        <f>data[[#This Row],[Profit]]/data[[#This Row],[Revenue]]</f>
        <v>0.28146819703491155</v>
      </c>
    </row>
    <row r="934" spans="1:20" x14ac:dyDescent="0.3">
      <c r="A934">
        <v>10932</v>
      </c>
      <c r="B934" t="s">
        <v>542</v>
      </c>
      <c r="C934" t="s">
        <v>606</v>
      </c>
      <c r="D934" t="s">
        <v>620</v>
      </c>
      <c r="E934" t="s">
        <v>628</v>
      </c>
      <c r="F934" t="s">
        <v>1522</v>
      </c>
      <c r="G934" t="s">
        <v>1763</v>
      </c>
      <c r="H934" t="s">
        <v>1767</v>
      </c>
      <c r="I934" t="s">
        <v>1774</v>
      </c>
      <c r="J934" t="s">
        <v>1778</v>
      </c>
      <c r="K934">
        <v>13</v>
      </c>
      <c r="L934" s="2">
        <v>274</v>
      </c>
      <c r="M934">
        <v>0.15</v>
      </c>
      <c r="N934" s="2">
        <v>143.36000000000001</v>
      </c>
      <c r="O934" s="2">
        <v>3027.7</v>
      </c>
      <c r="P934" s="2">
        <v>1863.68</v>
      </c>
      <c r="Q934" s="2">
        <v>1164.02</v>
      </c>
      <c r="R934">
        <v>0</v>
      </c>
      <c r="S934" s="2" t="str">
        <f>TEXT(data[[#This Row],[Date]],"mmm yyyy")</f>
        <v>Jan 2024</v>
      </c>
      <c r="T934" s="8">
        <f>data[[#This Row],[Profit]]/data[[#This Row],[Revenue]]</f>
        <v>0.38445684843280381</v>
      </c>
    </row>
    <row r="935" spans="1:20" x14ac:dyDescent="0.3">
      <c r="A935">
        <v>10933</v>
      </c>
      <c r="B935" t="s">
        <v>57</v>
      </c>
      <c r="C935" t="s">
        <v>608</v>
      </c>
      <c r="D935" t="s">
        <v>614</v>
      </c>
      <c r="E935" t="s">
        <v>629</v>
      </c>
      <c r="F935" t="s">
        <v>1523</v>
      </c>
      <c r="G935" t="s">
        <v>1763</v>
      </c>
      <c r="H935" t="s">
        <v>1770</v>
      </c>
      <c r="I935" t="s">
        <v>1773</v>
      </c>
      <c r="J935" t="s">
        <v>1779</v>
      </c>
      <c r="K935">
        <v>8</v>
      </c>
      <c r="L935" s="2">
        <v>808</v>
      </c>
      <c r="M935">
        <v>0</v>
      </c>
      <c r="N935" s="2">
        <v>474.59</v>
      </c>
      <c r="O935" s="2">
        <v>6464</v>
      </c>
      <c r="P935" s="2">
        <v>3796.72</v>
      </c>
      <c r="Q935" s="2">
        <v>2667.28</v>
      </c>
      <c r="R935">
        <v>0</v>
      </c>
      <c r="S935" s="2" t="str">
        <f>TEXT(data[[#This Row],[Date]],"mmm yyyy")</f>
        <v>Apr 2025</v>
      </c>
      <c r="T935" s="8">
        <f>data[[#This Row],[Profit]]/data[[#This Row],[Revenue]]</f>
        <v>0.41263613861386139</v>
      </c>
    </row>
    <row r="936" spans="1:20" x14ac:dyDescent="0.3">
      <c r="A936">
        <v>10934</v>
      </c>
      <c r="B936" t="s">
        <v>543</v>
      </c>
      <c r="C936" t="s">
        <v>608</v>
      </c>
      <c r="D936" t="s">
        <v>618</v>
      </c>
      <c r="E936" t="s">
        <v>628</v>
      </c>
      <c r="F936" t="s">
        <v>1524</v>
      </c>
      <c r="G936" t="s">
        <v>1760</v>
      </c>
      <c r="H936" t="s">
        <v>1771</v>
      </c>
      <c r="I936" t="s">
        <v>1775</v>
      </c>
      <c r="J936" t="s">
        <v>1778</v>
      </c>
      <c r="K936">
        <v>6</v>
      </c>
      <c r="L936" s="2">
        <v>427</v>
      </c>
      <c r="M936">
        <v>0.1</v>
      </c>
      <c r="N936" s="2">
        <v>245.81</v>
      </c>
      <c r="O936" s="2">
        <v>2305.8000000000002</v>
      </c>
      <c r="P936" s="2">
        <v>1474.86</v>
      </c>
      <c r="Q936" s="2">
        <v>830.94</v>
      </c>
      <c r="R936">
        <v>1</v>
      </c>
      <c r="S936" s="2" t="str">
        <f>TEXT(data[[#This Row],[Date]],"mmm yyyy")</f>
        <v>Jul 2025</v>
      </c>
      <c r="T936" s="8">
        <f>data[[#This Row],[Profit]]/data[[#This Row],[Revenue]]</f>
        <v>0.36036950299245379</v>
      </c>
    </row>
    <row r="937" spans="1:20" x14ac:dyDescent="0.3">
      <c r="A937">
        <v>10935</v>
      </c>
      <c r="B937" t="s">
        <v>544</v>
      </c>
      <c r="C937" t="s">
        <v>609</v>
      </c>
      <c r="D937" t="s">
        <v>622</v>
      </c>
      <c r="E937" t="s">
        <v>629</v>
      </c>
      <c r="F937" t="s">
        <v>1525</v>
      </c>
      <c r="G937" t="s">
        <v>1762</v>
      </c>
      <c r="H937" t="s">
        <v>1767</v>
      </c>
      <c r="I937" t="s">
        <v>1773</v>
      </c>
      <c r="J937" t="s">
        <v>1779</v>
      </c>
      <c r="K937">
        <v>15</v>
      </c>
      <c r="L937" s="2">
        <v>203</v>
      </c>
      <c r="M937">
        <v>0.15</v>
      </c>
      <c r="N937" s="2">
        <v>126.57</v>
      </c>
      <c r="O937" s="2">
        <v>2588.25</v>
      </c>
      <c r="P937" s="2">
        <v>1898.55</v>
      </c>
      <c r="Q937" s="2">
        <v>689.7</v>
      </c>
      <c r="R937">
        <v>0</v>
      </c>
      <c r="S937" s="2" t="str">
        <f>TEXT(data[[#This Row],[Date]],"mmm yyyy")</f>
        <v>Mar 2024</v>
      </c>
      <c r="T937" s="8">
        <f>data[[#This Row],[Profit]]/data[[#This Row],[Revenue]]</f>
        <v>0.2664734859461026</v>
      </c>
    </row>
    <row r="938" spans="1:20" x14ac:dyDescent="0.3">
      <c r="A938">
        <v>10936</v>
      </c>
      <c r="B938" t="s">
        <v>48</v>
      </c>
      <c r="C938" t="s">
        <v>606</v>
      </c>
      <c r="D938" t="s">
        <v>616</v>
      </c>
      <c r="E938" t="s">
        <v>626</v>
      </c>
      <c r="F938" t="s">
        <v>1526</v>
      </c>
      <c r="G938" t="s">
        <v>1766</v>
      </c>
      <c r="H938" t="s">
        <v>1771</v>
      </c>
      <c r="I938" t="s">
        <v>1775</v>
      </c>
      <c r="J938" t="s">
        <v>1778</v>
      </c>
      <c r="K938">
        <v>18</v>
      </c>
      <c r="L938" s="2">
        <v>610</v>
      </c>
      <c r="M938">
        <v>0.05</v>
      </c>
      <c r="N938" s="2">
        <v>392.49</v>
      </c>
      <c r="O938" s="2">
        <v>10431</v>
      </c>
      <c r="P938" s="2">
        <v>7064.82</v>
      </c>
      <c r="Q938" s="2">
        <v>3366.18</v>
      </c>
      <c r="R938">
        <v>0</v>
      </c>
      <c r="S938" s="2" t="str">
        <f>TEXT(data[[#This Row],[Date]],"mmm yyyy")</f>
        <v>Jun 2025</v>
      </c>
      <c r="T938" s="8">
        <f>data[[#This Row],[Profit]]/data[[#This Row],[Revenue]]</f>
        <v>0.32270923209663499</v>
      </c>
    </row>
    <row r="939" spans="1:20" x14ac:dyDescent="0.3">
      <c r="A939">
        <v>10937</v>
      </c>
      <c r="B939" t="s">
        <v>545</v>
      </c>
      <c r="C939" t="s">
        <v>606</v>
      </c>
      <c r="D939" t="s">
        <v>616</v>
      </c>
      <c r="E939" t="s">
        <v>626</v>
      </c>
      <c r="F939" t="s">
        <v>1527</v>
      </c>
      <c r="G939" t="s">
        <v>1761</v>
      </c>
      <c r="H939" t="s">
        <v>1767</v>
      </c>
      <c r="I939" t="s">
        <v>1775</v>
      </c>
      <c r="J939" t="s">
        <v>1776</v>
      </c>
      <c r="K939">
        <v>16</v>
      </c>
      <c r="L939" s="2">
        <v>98</v>
      </c>
      <c r="M939">
        <v>0</v>
      </c>
      <c r="N939" s="2">
        <v>52.63</v>
      </c>
      <c r="O939" s="2">
        <v>1568</v>
      </c>
      <c r="P939" s="2">
        <v>842.08</v>
      </c>
      <c r="Q939" s="2">
        <v>725.92</v>
      </c>
      <c r="R939">
        <v>0</v>
      </c>
      <c r="S939" s="2" t="str">
        <f>TEXT(data[[#This Row],[Date]],"mmm yyyy")</f>
        <v>Jun 2025</v>
      </c>
      <c r="T939" s="8">
        <f>data[[#This Row],[Profit]]/data[[#This Row],[Revenue]]</f>
        <v>0.46295918367346939</v>
      </c>
    </row>
    <row r="940" spans="1:20" x14ac:dyDescent="0.3">
      <c r="A940">
        <v>10938</v>
      </c>
      <c r="B940" t="s">
        <v>194</v>
      </c>
      <c r="C940" t="s">
        <v>608</v>
      </c>
      <c r="D940" t="s">
        <v>612</v>
      </c>
      <c r="E940" t="s">
        <v>626</v>
      </c>
      <c r="F940" t="s">
        <v>1528</v>
      </c>
      <c r="G940" t="s">
        <v>1762</v>
      </c>
      <c r="H940" t="s">
        <v>1770</v>
      </c>
      <c r="I940" t="s">
        <v>1773</v>
      </c>
      <c r="J940" t="s">
        <v>1777</v>
      </c>
      <c r="K940">
        <v>1</v>
      </c>
      <c r="L940" s="2">
        <v>955</v>
      </c>
      <c r="M940">
        <v>0.1</v>
      </c>
      <c r="N940" s="2">
        <v>642.57000000000005</v>
      </c>
      <c r="O940" s="2">
        <v>859.5</v>
      </c>
      <c r="P940" s="2">
        <v>642.57000000000005</v>
      </c>
      <c r="Q940" s="2">
        <v>216.93</v>
      </c>
      <c r="R940">
        <v>1</v>
      </c>
      <c r="S940" s="2" t="str">
        <f>TEXT(data[[#This Row],[Date]],"mmm yyyy")</f>
        <v>Feb 2024</v>
      </c>
      <c r="T940" s="8">
        <f>data[[#This Row],[Profit]]/data[[#This Row],[Revenue]]</f>
        <v>0.25239092495637</v>
      </c>
    </row>
    <row r="941" spans="1:20" x14ac:dyDescent="0.3">
      <c r="A941">
        <v>10939</v>
      </c>
      <c r="B941" t="s">
        <v>30</v>
      </c>
      <c r="C941" t="s">
        <v>607</v>
      </c>
      <c r="D941" t="s">
        <v>617</v>
      </c>
      <c r="E941" t="s">
        <v>627</v>
      </c>
      <c r="F941" t="s">
        <v>1529</v>
      </c>
      <c r="G941" t="s">
        <v>1765</v>
      </c>
      <c r="H941" t="s">
        <v>1771</v>
      </c>
      <c r="I941" t="s">
        <v>1774</v>
      </c>
      <c r="J941" t="s">
        <v>1777</v>
      </c>
      <c r="K941">
        <v>18</v>
      </c>
      <c r="L941" s="2">
        <v>427</v>
      </c>
      <c r="M941">
        <v>0.05</v>
      </c>
      <c r="N941" s="2">
        <v>235.71</v>
      </c>
      <c r="O941" s="2">
        <v>7301.7</v>
      </c>
      <c r="P941" s="2">
        <v>4242.78</v>
      </c>
      <c r="Q941" s="2">
        <v>3058.92</v>
      </c>
      <c r="R941">
        <v>0</v>
      </c>
      <c r="S941" s="2" t="str">
        <f>TEXT(data[[#This Row],[Date]],"mmm yyyy")</f>
        <v>Dec 2025</v>
      </c>
      <c r="T941" s="8">
        <f>data[[#This Row],[Profit]]/data[[#This Row],[Revenue]]</f>
        <v>0.41893257734500189</v>
      </c>
    </row>
    <row r="942" spans="1:20" x14ac:dyDescent="0.3">
      <c r="A942">
        <v>10940</v>
      </c>
      <c r="B942" t="s">
        <v>546</v>
      </c>
      <c r="C942" t="s">
        <v>608</v>
      </c>
      <c r="D942" t="s">
        <v>618</v>
      </c>
      <c r="E942" t="s">
        <v>629</v>
      </c>
      <c r="F942" t="s">
        <v>1530</v>
      </c>
      <c r="G942" t="s">
        <v>1763</v>
      </c>
      <c r="H942" t="s">
        <v>1767</v>
      </c>
      <c r="I942" t="s">
        <v>1773</v>
      </c>
      <c r="J942" t="s">
        <v>1777</v>
      </c>
      <c r="K942">
        <v>8</v>
      </c>
      <c r="L942" s="2">
        <v>89</v>
      </c>
      <c r="M942">
        <v>0.15</v>
      </c>
      <c r="N942" s="2">
        <v>59.25</v>
      </c>
      <c r="O942" s="2">
        <v>605.20000000000005</v>
      </c>
      <c r="P942" s="2">
        <v>474</v>
      </c>
      <c r="Q942" s="2">
        <v>131.19999999999999</v>
      </c>
      <c r="R942">
        <v>0</v>
      </c>
      <c r="S942" s="2" t="str">
        <f>TEXT(data[[#This Row],[Date]],"mmm yyyy")</f>
        <v>May 2025</v>
      </c>
      <c r="T942" s="8">
        <f>data[[#This Row],[Profit]]/data[[#This Row],[Revenue]]</f>
        <v>0.21678783873099799</v>
      </c>
    </row>
    <row r="943" spans="1:20" x14ac:dyDescent="0.3">
      <c r="A943">
        <v>10941</v>
      </c>
      <c r="B943" t="s">
        <v>547</v>
      </c>
      <c r="C943" t="s">
        <v>606</v>
      </c>
      <c r="D943" t="s">
        <v>620</v>
      </c>
      <c r="E943" t="s">
        <v>629</v>
      </c>
      <c r="F943" t="s">
        <v>1531</v>
      </c>
      <c r="G943" t="s">
        <v>1759</v>
      </c>
      <c r="H943" t="s">
        <v>1772</v>
      </c>
      <c r="I943" t="s">
        <v>1774</v>
      </c>
      <c r="J943" t="s">
        <v>1778</v>
      </c>
      <c r="K943">
        <v>16</v>
      </c>
      <c r="L943" s="2">
        <v>592</v>
      </c>
      <c r="M943">
        <v>0</v>
      </c>
      <c r="N943" s="2">
        <v>327.43</v>
      </c>
      <c r="O943" s="2">
        <v>9472</v>
      </c>
      <c r="P943" s="2">
        <v>5238.88</v>
      </c>
      <c r="Q943" s="2">
        <v>4233.12</v>
      </c>
      <c r="R943">
        <v>0</v>
      </c>
      <c r="S943" s="2" t="str">
        <f>TEXT(data[[#This Row],[Date]],"mmm yyyy")</f>
        <v>Feb 2024</v>
      </c>
      <c r="T943" s="8">
        <f>data[[#This Row],[Profit]]/data[[#This Row],[Revenue]]</f>
        <v>0.44690878378378379</v>
      </c>
    </row>
    <row r="944" spans="1:20" x14ac:dyDescent="0.3">
      <c r="A944">
        <v>10942</v>
      </c>
      <c r="B944" t="s">
        <v>548</v>
      </c>
      <c r="C944" t="s">
        <v>607</v>
      </c>
      <c r="D944" t="s">
        <v>611</v>
      </c>
      <c r="E944" t="s">
        <v>627</v>
      </c>
      <c r="F944" t="s">
        <v>1532</v>
      </c>
      <c r="G944" t="s">
        <v>1766</v>
      </c>
      <c r="H944" t="s">
        <v>1769</v>
      </c>
      <c r="I944" t="s">
        <v>1775</v>
      </c>
      <c r="J944" t="s">
        <v>1776</v>
      </c>
      <c r="K944">
        <v>17</v>
      </c>
      <c r="L944" s="2">
        <v>314</v>
      </c>
      <c r="M944">
        <v>0</v>
      </c>
      <c r="N944" s="2">
        <v>184.22</v>
      </c>
      <c r="O944" s="2">
        <v>5338</v>
      </c>
      <c r="P944" s="2">
        <v>3131.74</v>
      </c>
      <c r="Q944" s="2">
        <v>2206.2600000000002</v>
      </c>
      <c r="R944">
        <v>0</v>
      </c>
      <c r="S944" s="2" t="str">
        <f>TEXT(data[[#This Row],[Date]],"mmm yyyy")</f>
        <v>May 2024</v>
      </c>
      <c r="T944" s="8">
        <f>data[[#This Row],[Profit]]/data[[#This Row],[Revenue]]</f>
        <v>0.41331210191082807</v>
      </c>
    </row>
    <row r="945" spans="1:20" x14ac:dyDescent="0.3">
      <c r="A945">
        <v>10943</v>
      </c>
      <c r="B945" t="s">
        <v>209</v>
      </c>
      <c r="C945" t="s">
        <v>608</v>
      </c>
      <c r="D945" t="s">
        <v>618</v>
      </c>
      <c r="E945" t="s">
        <v>629</v>
      </c>
      <c r="F945" t="s">
        <v>1533</v>
      </c>
      <c r="G945" t="s">
        <v>1762</v>
      </c>
      <c r="H945" t="s">
        <v>1768</v>
      </c>
      <c r="I945" t="s">
        <v>1773</v>
      </c>
      <c r="J945" t="s">
        <v>1777</v>
      </c>
      <c r="K945">
        <v>16</v>
      </c>
      <c r="L945" s="2">
        <v>1322</v>
      </c>
      <c r="M945">
        <v>0.15</v>
      </c>
      <c r="N945" s="2">
        <v>885.16</v>
      </c>
      <c r="O945" s="2">
        <v>17979.2</v>
      </c>
      <c r="P945" s="2">
        <v>14162.56</v>
      </c>
      <c r="Q945" s="2">
        <v>3816.64</v>
      </c>
      <c r="R945">
        <v>0</v>
      </c>
      <c r="S945" s="2" t="str">
        <f>TEXT(data[[#This Row],[Date]],"mmm yyyy")</f>
        <v>Apr 2025</v>
      </c>
      <c r="T945" s="8">
        <f>data[[#This Row],[Profit]]/data[[#This Row],[Revenue]]</f>
        <v>0.21228085788021711</v>
      </c>
    </row>
    <row r="946" spans="1:20" x14ac:dyDescent="0.3">
      <c r="A946">
        <v>10944</v>
      </c>
      <c r="B946" t="s">
        <v>284</v>
      </c>
      <c r="C946" t="s">
        <v>606</v>
      </c>
      <c r="D946" t="s">
        <v>625</v>
      </c>
      <c r="E946" t="s">
        <v>627</v>
      </c>
      <c r="F946" t="s">
        <v>1534</v>
      </c>
      <c r="G946" t="s">
        <v>1764</v>
      </c>
      <c r="H946" t="s">
        <v>1770</v>
      </c>
      <c r="I946" t="s">
        <v>1773</v>
      </c>
      <c r="J946" t="s">
        <v>1777</v>
      </c>
      <c r="K946">
        <v>9</v>
      </c>
      <c r="L946" s="2">
        <v>697</v>
      </c>
      <c r="M946">
        <v>0</v>
      </c>
      <c r="N946" s="2">
        <v>383.12</v>
      </c>
      <c r="O946" s="2">
        <v>6273</v>
      </c>
      <c r="P946" s="2">
        <v>3448.08</v>
      </c>
      <c r="Q946" s="2">
        <v>2824.92</v>
      </c>
      <c r="R946">
        <v>0</v>
      </c>
      <c r="S946" s="2" t="str">
        <f>TEXT(data[[#This Row],[Date]],"mmm yyyy")</f>
        <v>Apr 2025</v>
      </c>
      <c r="T946" s="8">
        <f>data[[#This Row],[Profit]]/data[[#This Row],[Revenue]]</f>
        <v>0.45032998565279769</v>
      </c>
    </row>
    <row r="947" spans="1:20" x14ac:dyDescent="0.3">
      <c r="A947">
        <v>10945</v>
      </c>
      <c r="B947" t="s">
        <v>486</v>
      </c>
      <c r="C947" t="s">
        <v>608</v>
      </c>
      <c r="D947" t="s">
        <v>618</v>
      </c>
      <c r="E947" t="s">
        <v>629</v>
      </c>
      <c r="F947" t="s">
        <v>1535</v>
      </c>
      <c r="G947" t="s">
        <v>1760</v>
      </c>
      <c r="H947" t="s">
        <v>1771</v>
      </c>
      <c r="I947" t="s">
        <v>1775</v>
      </c>
      <c r="J947" t="s">
        <v>1776</v>
      </c>
      <c r="K947">
        <v>20</v>
      </c>
      <c r="L947" s="2">
        <v>317</v>
      </c>
      <c r="M947">
        <v>0.15</v>
      </c>
      <c r="N947" s="2">
        <v>180.07</v>
      </c>
      <c r="O947" s="2">
        <v>5389</v>
      </c>
      <c r="P947" s="2">
        <v>3601.4</v>
      </c>
      <c r="Q947" s="2">
        <v>1787.6</v>
      </c>
      <c r="R947">
        <v>0</v>
      </c>
      <c r="S947" s="2" t="str">
        <f>TEXT(data[[#This Row],[Date]],"mmm yyyy")</f>
        <v>Mar 2025</v>
      </c>
      <c r="T947" s="8">
        <f>data[[#This Row],[Profit]]/data[[#This Row],[Revenue]]</f>
        <v>0.33171274819075891</v>
      </c>
    </row>
    <row r="948" spans="1:20" x14ac:dyDescent="0.3">
      <c r="A948">
        <v>10946</v>
      </c>
      <c r="B948" t="s">
        <v>245</v>
      </c>
      <c r="C948" t="s">
        <v>608</v>
      </c>
      <c r="D948" t="s">
        <v>618</v>
      </c>
      <c r="E948" t="s">
        <v>629</v>
      </c>
      <c r="F948" t="s">
        <v>1536</v>
      </c>
      <c r="G948" t="s">
        <v>1764</v>
      </c>
      <c r="H948" t="s">
        <v>1771</v>
      </c>
      <c r="I948" t="s">
        <v>1773</v>
      </c>
      <c r="J948" t="s">
        <v>1779</v>
      </c>
      <c r="K948">
        <v>13</v>
      </c>
      <c r="L948" s="2">
        <v>645</v>
      </c>
      <c r="M948">
        <v>0.1</v>
      </c>
      <c r="N948" s="2">
        <v>450.98</v>
      </c>
      <c r="O948" s="2">
        <v>7546.5</v>
      </c>
      <c r="P948" s="2">
        <v>5862.74</v>
      </c>
      <c r="Q948" s="2">
        <v>1683.76</v>
      </c>
      <c r="R948">
        <v>0</v>
      </c>
      <c r="S948" s="2" t="str">
        <f>TEXT(data[[#This Row],[Date]],"mmm yyyy")</f>
        <v>Sep 2024</v>
      </c>
      <c r="T948" s="8">
        <f>data[[#This Row],[Profit]]/data[[#This Row],[Revenue]]</f>
        <v>0.22311800172265289</v>
      </c>
    </row>
    <row r="949" spans="1:20" x14ac:dyDescent="0.3">
      <c r="A949">
        <v>10947</v>
      </c>
      <c r="B949" t="s">
        <v>549</v>
      </c>
      <c r="C949" t="s">
        <v>606</v>
      </c>
      <c r="D949" t="s">
        <v>610</v>
      </c>
      <c r="E949" t="s">
        <v>627</v>
      </c>
      <c r="F949" t="s">
        <v>1535</v>
      </c>
      <c r="G949" t="s">
        <v>1766</v>
      </c>
      <c r="H949" t="s">
        <v>1770</v>
      </c>
      <c r="I949" t="s">
        <v>1775</v>
      </c>
      <c r="J949" t="s">
        <v>1778</v>
      </c>
      <c r="K949">
        <v>18</v>
      </c>
      <c r="L949" s="2">
        <v>925</v>
      </c>
      <c r="M949">
        <v>0.05</v>
      </c>
      <c r="N949" s="2">
        <v>604.29</v>
      </c>
      <c r="O949" s="2">
        <v>15817.5</v>
      </c>
      <c r="P949" s="2">
        <v>10877.22</v>
      </c>
      <c r="Q949" s="2">
        <v>4940.28</v>
      </c>
      <c r="R949">
        <v>0</v>
      </c>
      <c r="S949" s="2" t="str">
        <f>TEXT(data[[#This Row],[Date]],"mmm yyyy")</f>
        <v>Jun 2025</v>
      </c>
      <c r="T949" s="8">
        <f>data[[#This Row],[Profit]]/data[[#This Row],[Revenue]]</f>
        <v>0.31233001422475104</v>
      </c>
    </row>
    <row r="950" spans="1:20" x14ac:dyDescent="0.3">
      <c r="A950">
        <v>10948</v>
      </c>
      <c r="B950" t="s">
        <v>550</v>
      </c>
      <c r="C950" t="s">
        <v>607</v>
      </c>
      <c r="D950" t="s">
        <v>611</v>
      </c>
      <c r="E950" t="s">
        <v>629</v>
      </c>
      <c r="F950" t="s">
        <v>1537</v>
      </c>
      <c r="G950" t="s">
        <v>1763</v>
      </c>
      <c r="H950" t="s">
        <v>1770</v>
      </c>
      <c r="I950" t="s">
        <v>1775</v>
      </c>
      <c r="J950" t="s">
        <v>1779</v>
      </c>
      <c r="K950">
        <v>15</v>
      </c>
      <c r="L950" s="2">
        <v>899</v>
      </c>
      <c r="M950">
        <v>0.2</v>
      </c>
      <c r="N950" s="2">
        <v>566.41</v>
      </c>
      <c r="O950" s="2">
        <v>10788</v>
      </c>
      <c r="P950" s="2">
        <v>8496.15</v>
      </c>
      <c r="Q950" s="2">
        <v>2291.85</v>
      </c>
      <c r="R950">
        <v>1</v>
      </c>
      <c r="S950" s="2" t="str">
        <f>TEXT(data[[#This Row],[Date]],"mmm yyyy")</f>
        <v>Sep 2024</v>
      </c>
      <c r="T950" s="8">
        <f>data[[#This Row],[Profit]]/data[[#This Row],[Revenue]]</f>
        <v>0.21244438264738597</v>
      </c>
    </row>
    <row r="951" spans="1:20" x14ac:dyDescent="0.3">
      <c r="A951">
        <v>10949</v>
      </c>
      <c r="B951" t="s">
        <v>429</v>
      </c>
      <c r="C951" t="s">
        <v>606</v>
      </c>
      <c r="D951" t="s">
        <v>610</v>
      </c>
      <c r="E951" t="s">
        <v>629</v>
      </c>
      <c r="F951" t="s">
        <v>1538</v>
      </c>
      <c r="G951" t="s">
        <v>1759</v>
      </c>
      <c r="H951" t="s">
        <v>1772</v>
      </c>
      <c r="I951" t="s">
        <v>1773</v>
      </c>
      <c r="J951" t="s">
        <v>1779</v>
      </c>
      <c r="K951">
        <v>1</v>
      </c>
      <c r="L951" s="2">
        <v>1055</v>
      </c>
      <c r="M951">
        <v>0.1</v>
      </c>
      <c r="N951" s="2">
        <v>556.11</v>
      </c>
      <c r="O951" s="2">
        <v>949.5</v>
      </c>
      <c r="P951" s="2">
        <v>556.11</v>
      </c>
      <c r="Q951" s="2">
        <v>393.39</v>
      </c>
      <c r="R951">
        <v>0</v>
      </c>
      <c r="S951" s="2" t="str">
        <f>TEXT(data[[#This Row],[Date]],"mmm yyyy")</f>
        <v>Aug 2025</v>
      </c>
      <c r="T951" s="8">
        <f>data[[#This Row],[Profit]]/data[[#This Row],[Revenue]]</f>
        <v>0.41431279620853079</v>
      </c>
    </row>
    <row r="952" spans="1:20" x14ac:dyDescent="0.3">
      <c r="A952">
        <v>10950</v>
      </c>
      <c r="B952" t="s">
        <v>481</v>
      </c>
      <c r="C952" t="s">
        <v>607</v>
      </c>
      <c r="D952" t="s">
        <v>624</v>
      </c>
      <c r="E952" t="s">
        <v>627</v>
      </c>
      <c r="F952" t="s">
        <v>1539</v>
      </c>
      <c r="G952" t="s">
        <v>1762</v>
      </c>
      <c r="H952" t="s">
        <v>1767</v>
      </c>
      <c r="I952" t="s">
        <v>1774</v>
      </c>
      <c r="J952" t="s">
        <v>1776</v>
      </c>
      <c r="K952">
        <v>9</v>
      </c>
      <c r="L952" s="2">
        <v>193</v>
      </c>
      <c r="M952">
        <v>0.1</v>
      </c>
      <c r="N952" s="2">
        <v>111.11</v>
      </c>
      <c r="O952" s="2">
        <v>1563.3</v>
      </c>
      <c r="P952" s="2">
        <v>999.99</v>
      </c>
      <c r="Q952" s="2">
        <v>563.30999999999995</v>
      </c>
      <c r="R952">
        <v>1</v>
      </c>
      <c r="S952" s="2" t="str">
        <f>TEXT(data[[#This Row],[Date]],"mmm yyyy")</f>
        <v>Feb 2025</v>
      </c>
      <c r="T952" s="8">
        <f>data[[#This Row],[Profit]]/data[[#This Row],[Revenue]]</f>
        <v>0.36033390903857221</v>
      </c>
    </row>
    <row r="953" spans="1:20" x14ac:dyDescent="0.3">
      <c r="A953">
        <v>10951</v>
      </c>
      <c r="B953" t="s">
        <v>551</v>
      </c>
      <c r="C953" t="s">
        <v>607</v>
      </c>
      <c r="D953" t="s">
        <v>621</v>
      </c>
      <c r="E953" t="s">
        <v>627</v>
      </c>
      <c r="F953" t="s">
        <v>1540</v>
      </c>
      <c r="G953" t="s">
        <v>1765</v>
      </c>
      <c r="H953" t="s">
        <v>1772</v>
      </c>
      <c r="I953" t="s">
        <v>1775</v>
      </c>
      <c r="J953" t="s">
        <v>1776</v>
      </c>
      <c r="K953">
        <v>4</v>
      </c>
      <c r="L953" s="2">
        <v>799</v>
      </c>
      <c r="M953">
        <v>0.05</v>
      </c>
      <c r="N953" s="2">
        <v>437.3</v>
      </c>
      <c r="O953" s="2">
        <v>3036.2</v>
      </c>
      <c r="P953" s="2">
        <v>1749.2</v>
      </c>
      <c r="Q953" s="2">
        <v>1287</v>
      </c>
      <c r="R953">
        <v>1</v>
      </c>
      <c r="S953" s="2" t="str">
        <f>TEXT(data[[#This Row],[Date]],"mmm yyyy")</f>
        <v>May 2025</v>
      </c>
      <c r="T953" s="8">
        <f>data[[#This Row],[Profit]]/data[[#This Row],[Revenue]]</f>
        <v>0.42388511955734143</v>
      </c>
    </row>
    <row r="954" spans="1:20" x14ac:dyDescent="0.3">
      <c r="A954">
        <v>10952</v>
      </c>
      <c r="B954" t="s">
        <v>222</v>
      </c>
      <c r="C954" t="s">
        <v>608</v>
      </c>
      <c r="D954" t="s">
        <v>612</v>
      </c>
      <c r="E954" t="s">
        <v>629</v>
      </c>
      <c r="F954" t="s">
        <v>1541</v>
      </c>
      <c r="G954" t="s">
        <v>1759</v>
      </c>
      <c r="H954" t="s">
        <v>1770</v>
      </c>
      <c r="I954" t="s">
        <v>1773</v>
      </c>
      <c r="J954" t="s">
        <v>1776</v>
      </c>
      <c r="K954">
        <v>11</v>
      </c>
      <c r="L954" s="2">
        <v>787</v>
      </c>
      <c r="M954">
        <v>0.1</v>
      </c>
      <c r="N954" s="2">
        <v>413.65</v>
      </c>
      <c r="O954" s="2">
        <v>7791.3</v>
      </c>
      <c r="P954" s="2">
        <v>4550.1499999999996</v>
      </c>
      <c r="Q954" s="2">
        <v>3241.15</v>
      </c>
      <c r="R954">
        <v>0</v>
      </c>
      <c r="S954" s="2" t="str">
        <f>TEXT(data[[#This Row],[Date]],"mmm yyyy")</f>
        <v>Jan 2024</v>
      </c>
      <c r="T954" s="8">
        <f>data[[#This Row],[Profit]]/data[[#This Row],[Revenue]]</f>
        <v>0.41599604687279401</v>
      </c>
    </row>
    <row r="955" spans="1:20" x14ac:dyDescent="0.3">
      <c r="A955">
        <v>10953</v>
      </c>
      <c r="B955" t="s">
        <v>41</v>
      </c>
      <c r="C955" t="s">
        <v>609</v>
      </c>
      <c r="D955" t="s">
        <v>613</v>
      </c>
      <c r="E955" t="s">
        <v>628</v>
      </c>
      <c r="F955" t="s">
        <v>1373</v>
      </c>
      <c r="G955" t="s">
        <v>1765</v>
      </c>
      <c r="H955" t="s">
        <v>1767</v>
      </c>
      <c r="I955" t="s">
        <v>1774</v>
      </c>
      <c r="J955" t="s">
        <v>1778</v>
      </c>
      <c r="K955">
        <v>9</v>
      </c>
      <c r="L955" s="2">
        <v>231</v>
      </c>
      <c r="M955">
        <v>0.1</v>
      </c>
      <c r="N955" s="2">
        <v>167.3</v>
      </c>
      <c r="O955" s="2">
        <v>1871.1</v>
      </c>
      <c r="P955" s="2">
        <v>1505.7</v>
      </c>
      <c r="Q955" s="2">
        <v>365.4</v>
      </c>
      <c r="R955">
        <v>1</v>
      </c>
      <c r="S955" s="2" t="str">
        <f>TEXT(data[[#This Row],[Date]],"mmm yyyy")</f>
        <v>Nov 2025</v>
      </c>
      <c r="T955" s="8">
        <f>data[[#This Row],[Profit]]/data[[#This Row],[Revenue]]</f>
        <v>0.19528619528619529</v>
      </c>
    </row>
    <row r="956" spans="1:20" x14ac:dyDescent="0.3">
      <c r="A956">
        <v>10954</v>
      </c>
      <c r="B956" t="s">
        <v>552</v>
      </c>
      <c r="C956" t="s">
        <v>608</v>
      </c>
      <c r="D956" t="s">
        <v>614</v>
      </c>
      <c r="E956" t="s">
        <v>626</v>
      </c>
      <c r="F956" t="s">
        <v>1542</v>
      </c>
      <c r="G956" t="s">
        <v>1765</v>
      </c>
      <c r="H956" t="s">
        <v>1771</v>
      </c>
      <c r="I956" t="s">
        <v>1773</v>
      </c>
      <c r="J956" t="s">
        <v>1778</v>
      </c>
      <c r="K956">
        <v>18</v>
      </c>
      <c r="L956" s="2">
        <v>360</v>
      </c>
      <c r="M956">
        <v>0.1</v>
      </c>
      <c r="N956" s="2">
        <v>199.41</v>
      </c>
      <c r="O956" s="2">
        <v>5832</v>
      </c>
      <c r="P956" s="2">
        <v>3589.38</v>
      </c>
      <c r="Q956" s="2">
        <v>2242.62</v>
      </c>
      <c r="R956">
        <v>0</v>
      </c>
      <c r="S956" s="2" t="str">
        <f>TEXT(data[[#This Row],[Date]],"mmm yyyy")</f>
        <v>Oct 2024</v>
      </c>
      <c r="T956" s="8">
        <f>data[[#This Row],[Profit]]/data[[#This Row],[Revenue]]</f>
        <v>0.38453703703703701</v>
      </c>
    </row>
    <row r="957" spans="1:20" x14ac:dyDescent="0.3">
      <c r="A957">
        <v>10955</v>
      </c>
      <c r="B957" t="s">
        <v>523</v>
      </c>
      <c r="C957" t="s">
        <v>608</v>
      </c>
      <c r="D957" t="s">
        <v>614</v>
      </c>
      <c r="E957" t="s">
        <v>628</v>
      </c>
      <c r="F957" t="s">
        <v>1543</v>
      </c>
      <c r="G957" t="s">
        <v>1766</v>
      </c>
      <c r="H957" t="s">
        <v>1769</v>
      </c>
      <c r="I957" t="s">
        <v>1773</v>
      </c>
      <c r="J957" t="s">
        <v>1778</v>
      </c>
      <c r="K957">
        <v>10</v>
      </c>
      <c r="L957" s="2">
        <v>155</v>
      </c>
      <c r="M957">
        <v>0</v>
      </c>
      <c r="N957" s="2">
        <v>107.11</v>
      </c>
      <c r="O957" s="2">
        <v>1550</v>
      </c>
      <c r="P957" s="2">
        <v>1071.0999999999999</v>
      </c>
      <c r="Q957" s="2">
        <v>478.9</v>
      </c>
      <c r="R957">
        <v>0</v>
      </c>
      <c r="S957" s="2" t="str">
        <f>TEXT(data[[#This Row],[Date]],"mmm yyyy")</f>
        <v>Sep 2024</v>
      </c>
      <c r="T957" s="8">
        <f>data[[#This Row],[Profit]]/data[[#This Row],[Revenue]]</f>
        <v>0.30896774193548387</v>
      </c>
    </row>
    <row r="958" spans="1:20" x14ac:dyDescent="0.3">
      <c r="A958">
        <v>10956</v>
      </c>
      <c r="B958" t="s">
        <v>553</v>
      </c>
      <c r="C958" t="s">
        <v>606</v>
      </c>
      <c r="D958" t="s">
        <v>620</v>
      </c>
      <c r="E958" t="s">
        <v>627</v>
      </c>
      <c r="F958" t="s">
        <v>1544</v>
      </c>
      <c r="G958" t="s">
        <v>1765</v>
      </c>
      <c r="H958" t="s">
        <v>1768</v>
      </c>
      <c r="I958" t="s">
        <v>1773</v>
      </c>
      <c r="J958" t="s">
        <v>1777</v>
      </c>
      <c r="K958">
        <v>1</v>
      </c>
      <c r="L958" s="2">
        <v>1265</v>
      </c>
      <c r="M958">
        <v>0.2</v>
      </c>
      <c r="N958" s="2">
        <v>927.14</v>
      </c>
      <c r="O958" s="2">
        <v>1012</v>
      </c>
      <c r="P958" s="2">
        <v>927.14</v>
      </c>
      <c r="Q958" s="2">
        <v>84.86</v>
      </c>
      <c r="R958">
        <v>0</v>
      </c>
      <c r="S958" s="2" t="str">
        <f>TEXT(data[[#This Row],[Date]],"mmm yyyy")</f>
        <v>Mar 2025</v>
      </c>
      <c r="T958" s="8">
        <f>data[[#This Row],[Profit]]/data[[#This Row],[Revenue]]</f>
        <v>8.3853754940711456E-2</v>
      </c>
    </row>
    <row r="959" spans="1:20" x14ac:dyDescent="0.3">
      <c r="A959">
        <v>10957</v>
      </c>
      <c r="B959" t="s">
        <v>521</v>
      </c>
      <c r="C959" t="s">
        <v>609</v>
      </c>
      <c r="D959" t="s">
        <v>613</v>
      </c>
      <c r="E959" t="s">
        <v>627</v>
      </c>
      <c r="F959" t="s">
        <v>1310</v>
      </c>
      <c r="G959" t="s">
        <v>1765</v>
      </c>
      <c r="H959" t="s">
        <v>1770</v>
      </c>
      <c r="I959" t="s">
        <v>1775</v>
      </c>
      <c r="J959" t="s">
        <v>1776</v>
      </c>
      <c r="K959">
        <v>2</v>
      </c>
      <c r="L959" s="2">
        <v>961</v>
      </c>
      <c r="M959">
        <v>0.1</v>
      </c>
      <c r="N959" s="2">
        <v>649.34</v>
      </c>
      <c r="O959" s="2">
        <v>1729.8</v>
      </c>
      <c r="P959" s="2">
        <v>1298.68</v>
      </c>
      <c r="Q959" s="2">
        <v>431.12</v>
      </c>
      <c r="R959">
        <v>0</v>
      </c>
      <c r="S959" s="2" t="str">
        <f>TEXT(data[[#This Row],[Date]],"mmm yyyy")</f>
        <v>Jul 2024</v>
      </c>
      <c r="T959" s="8">
        <f>data[[#This Row],[Profit]]/data[[#This Row],[Revenue]]</f>
        <v>0.24923112498554748</v>
      </c>
    </row>
    <row r="960" spans="1:20" x14ac:dyDescent="0.3">
      <c r="A960">
        <v>10958</v>
      </c>
      <c r="B960" t="s">
        <v>449</v>
      </c>
      <c r="C960" t="s">
        <v>608</v>
      </c>
      <c r="D960" t="s">
        <v>615</v>
      </c>
      <c r="E960" t="s">
        <v>628</v>
      </c>
      <c r="F960" t="s">
        <v>1545</v>
      </c>
      <c r="G960" t="s">
        <v>1762</v>
      </c>
      <c r="H960" t="s">
        <v>1771</v>
      </c>
      <c r="I960" t="s">
        <v>1774</v>
      </c>
      <c r="J960" t="s">
        <v>1776</v>
      </c>
      <c r="K960">
        <v>14</v>
      </c>
      <c r="L960" s="2">
        <v>663</v>
      </c>
      <c r="M960">
        <v>0.2</v>
      </c>
      <c r="N960" s="2">
        <v>356.36</v>
      </c>
      <c r="O960" s="2">
        <v>7425.6</v>
      </c>
      <c r="P960" s="2">
        <v>4989.04</v>
      </c>
      <c r="Q960" s="2">
        <v>2436.56</v>
      </c>
      <c r="R960">
        <v>0</v>
      </c>
      <c r="S960" s="2" t="str">
        <f>TEXT(data[[#This Row],[Date]],"mmm yyyy")</f>
        <v>Jun 2024</v>
      </c>
      <c r="T960" s="8">
        <f>data[[#This Row],[Profit]]/data[[#This Row],[Revenue]]</f>
        <v>0.32812971342383107</v>
      </c>
    </row>
    <row r="961" spans="1:20" x14ac:dyDescent="0.3">
      <c r="A961">
        <v>10959</v>
      </c>
      <c r="B961" t="s">
        <v>209</v>
      </c>
      <c r="C961" t="s">
        <v>606</v>
      </c>
      <c r="D961" t="s">
        <v>625</v>
      </c>
      <c r="E961" t="s">
        <v>627</v>
      </c>
      <c r="F961" t="s">
        <v>1546</v>
      </c>
      <c r="G961" t="s">
        <v>1761</v>
      </c>
      <c r="H961" t="s">
        <v>1768</v>
      </c>
      <c r="I961" t="s">
        <v>1774</v>
      </c>
      <c r="J961" t="s">
        <v>1776</v>
      </c>
      <c r="K961">
        <v>18</v>
      </c>
      <c r="L961" s="2">
        <v>1270</v>
      </c>
      <c r="M961">
        <v>0.05</v>
      </c>
      <c r="N961" s="2">
        <v>687.48</v>
      </c>
      <c r="O961" s="2">
        <v>21717</v>
      </c>
      <c r="P961" s="2">
        <v>12374.64</v>
      </c>
      <c r="Q961" s="2">
        <v>9342.36</v>
      </c>
      <c r="R961">
        <v>0</v>
      </c>
      <c r="S961" s="2" t="str">
        <f>TEXT(data[[#This Row],[Date]],"mmm yyyy")</f>
        <v>Apr 2025</v>
      </c>
      <c r="T961" s="8">
        <f>data[[#This Row],[Profit]]/data[[#This Row],[Revenue]]</f>
        <v>0.43018648984666391</v>
      </c>
    </row>
    <row r="962" spans="1:20" x14ac:dyDescent="0.3">
      <c r="A962">
        <v>10960</v>
      </c>
      <c r="B962" t="s">
        <v>135</v>
      </c>
      <c r="C962" t="s">
        <v>606</v>
      </c>
      <c r="D962" t="s">
        <v>610</v>
      </c>
      <c r="E962" t="s">
        <v>627</v>
      </c>
      <c r="F962" t="s">
        <v>1547</v>
      </c>
      <c r="G962" t="s">
        <v>1760</v>
      </c>
      <c r="H962" t="s">
        <v>1768</v>
      </c>
      <c r="I962" t="s">
        <v>1774</v>
      </c>
      <c r="J962" t="s">
        <v>1776</v>
      </c>
      <c r="K962">
        <v>20</v>
      </c>
      <c r="L962" s="2">
        <v>1159</v>
      </c>
      <c r="M962">
        <v>0.05</v>
      </c>
      <c r="N962" s="2">
        <v>730.66</v>
      </c>
      <c r="O962" s="2">
        <v>22021</v>
      </c>
      <c r="P962" s="2">
        <v>14613.2</v>
      </c>
      <c r="Q962" s="2">
        <v>7407.8</v>
      </c>
      <c r="R962">
        <v>0</v>
      </c>
      <c r="S962" s="2" t="str">
        <f>TEXT(data[[#This Row],[Date]],"mmm yyyy")</f>
        <v>May 2025</v>
      </c>
      <c r="T962" s="8">
        <f>data[[#This Row],[Profit]]/data[[#This Row],[Revenue]]</f>
        <v>0.33639707551882297</v>
      </c>
    </row>
    <row r="963" spans="1:20" x14ac:dyDescent="0.3">
      <c r="A963">
        <v>10961</v>
      </c>
      <c r="B963" t="s">
        <v>23</v>
      </c>
      <c r="C963" t="s">
        <v>607</v>
      </c>
      <c r="D963" t="s">
        <v>621</v>
      </c>
      <c r="E963" t="s">
        <v>627</v>
      </c>
      <c r="F963" t="s">
        <v>1548</v>
      </c>
      <c r="G963" t="s">
        <v>1759</v>
      </c>
      <c r="H963" t="s">
        <v>1771</v>
      </c>
      <c r="I963" t="s">
        <v>1773</v>
      </c>
      <c r="J963" t="s">
        <v>1777</v>
      </c>
      <c r="K963">
        <v>6</v>
      </c>
      <c r="L963" s="2">
        <v>459</v>
      </c>
      <c r="M963">
        <v>0</v>
      </c>
      <c r="N963" s="2">
        <v>297.05</v>
      </c>
      <c r="O963" s="2">
        <v>2754</v>
      </c>
      <c r="P963" s="2">
        <v>1782.3</v>
      </c>
      <c r="Q963" s="2">
        <v>971.7</v>
      </c>
      <c r="R963">
        <v>1</v>
      </c>
      <c r="S963" s="2" t="str">
        <f>TEXT(data[[#This Row],[Date]],"mmm yyyy")</f>
        <v>Dec 2024</v>
      </c>
      <c r="T963" s="8">
        <f>data[[#This Row],[Profit]]/data[[#This Row],[Revenue]]</f>
        <v>0.3528322440087146</v>
      </c>
    </row>
    <row r="964" spans="1:20" x14ac:dyDescent="0.3">
      <c r="A964">
        <v>10962</v>
      </c>
      <c r="B964" t="s">
        <v>34</v>
      </c>
      <c r="C964" t="s">
        <v>609</v>
      </c>
      <c r="D964" t="s">
        <v>622</v>
      </c>
      <c r="E964" t="s">
        <v>627</v>
      </c>
      <c r="F964" t="s">
        <v>1549</v>
      </c>
      <c r="G964" t="s">
        <v>1765</v>
      </c>
      <c r="H964" t="s">
        <v>1771</v>
      </c>
      <c r="I964" t="s">
        <v>1774</v>
      </c>
      <c r="J964" t="s">
        <v>1778</v>
      </c>
      <c r="K964">
        <v>4</v>
      </c>
      <c r="L964" s="2">
        <v>357</v>
      </c>
      <c r="M964">
        <v>0.05</v>
      </c>
      <c r="N964" s="2">
        <v>210.81</v>
      </c>
      <c r="O964" s="2">
        <v>1356.6</v>
      </c>
      <c r="P964" s="2">
        <v>843.24</v>
      </c>
      <c r="Q964" s="2">
        <v>513.36</v>
      </c>
      <c r="R964">
        <v>1</v>
      </c>
      <c r="S964" s="2" t="str">
        <f>TEXT(data[[#This Row],[Date]],"mmm yyyy")</f>
        <v>May 2025</v>
      </c>
      <c r="T964" s="8">
        <f>data[[#This Row],[Profit]]/data[[#This Row],[Revenue]]</f>
        <v>0.37841662980981872</v>
      </c>
    </row>
    <row r="965" spans="1:20" x14ac:dyDescent="0.3">
      <c r="A965">
        <v>10963</v>
      </c>
      <c r="B965" t="s">
        <v>249</v>
      </c>
      <c r="C965" t="s">
        <v>607</v>
      </c>
      <c r="D965" t="s">
        <v>611</v>
      </c>
      <c r="E965" t="s">
        <v>626</v>
      </c>
      <c r="F965" t="s">
        <v>1550</v>
      </c>
      <c r="G965" t="s">
        <v>1760</v>
      </c>
      <c r="H965" t="s">
        <v>1772</v>
      </c>
      <c r="I965" t="s">
        <v>1775</v>
      </c>
      <c r="J965" t="s">
        <v>1777</v>
      </c>
      <c r="K965">
        <v>1</v>
      </c>
      <c r="L965" s="2">
        <v>753</v>
      </c>
      <c r="M965">
        <v>0.15</v>
      </c>
      <c r="N965" s="2">
        <v>424.65</v>
      </c>
      <c r="O965" s="2">
        <v>640.04999999999995</v>
      </c>
      <c r="P965" s="2">
        <v>424.65</v>
      </c>
      <c r="Q965" s="2">
        <v>215.4</v>
      </c>
      <c r="R965">
        <v>0</v>
      </c>
      <c r="S965" s="2" t="str">
        <f>TEXT(data[[#This Row],[Date]],"mmm yyyy")</f>
        <v>Dec 2025</v>
      </c>
      <c r="T965" s="8">
        <f>data[[#This Row],[Profit]]/data[[#This Row],[Revenue]]</f>
        <v>0.33653620810874152</v>
      </c>
    </row>
    <row r="966" spans="1:20" x14ac:dyDescent="0.3">
      <c r="A966">
        <v>10964</v>
      </c>
      <c r="B966" t="s">
        <v>554</v>
      </c>
      <c r="C966" t="s">
        <v>608</v>
      </c>
      <c r="D966" t="s">
        <v>615</v>
      </c>
      <c r="E966" t="s">
        <v>628</v>
      </c>
      <c r="F966" t="s">
        <v>1551</v>
      </c>
      <c r="G966" t="s">
        <v>1762</v>
      </c>
      <c r="H966" t="s">
        <v>1767</v>
      </c>
      <c r="I966" t="s">
        <v>1775</v>
      </c>
      <c r="J966" t="s">
        <v>1778</v>
      </c>
      <c r="K966">
        <v>6</v>
      </c>
      <c r="L966" s="2">
        <v>216</v>
      </c>
      <c r="M966">
        <v>0.15</v>
      </c>
      <c r="N966" s="2">
        <v>130</v>
      </c>
      <c r="O966" s="2">
        <v>1101.5999999999999</v>
      </c>
      <c r="P966" s="2">
        <v>780</v>
      </c>
      <c r="Q966" s="2">
        <v>321.60000000000002</v>
      </c>
      <c r="R966">
        <v>1</v>
      </c>
      <c r="S966" s="2" t="str">
        <f>TEXT(data[[#This Row],[Date]],"mmm yyyy")</f>
        <v>Feb 2024</v>
      </c>
      <c r="T966" s="8">
        <f>data[[#This Row],[Profit]]/data[[#This Row],[Revenue]]</f>
        <v>0.2919389978213508</v>
      </c>
    </row>
    <row r="967" spans="1:20" x14ac:dyDescent="0.3">
      <c r="A967">
        <v>10965</v>
      </c>
      <c r="B967" t="s">
        <v>555</v>
      </c>
      <c r="C967" t="s">
        <v>608</v>
      </c>
      <c r="D967" t="s">
        <v>618</v>
      </c>
      <c r="E967" t="s">
        <v>627</v>
      </c>
      <c r="F967" t="s">
        <v>1552</v>
      </c>
      <c r="G967" t="s">
        <v>1765</v>
      </c>
      <c r="H967" t="s">
        <v>1767</v>
      </c>
      <c r="I967" t="s">
        <v>1775</v>
      </c>
      <c r="J967" t="s">
        <v>1779</v>
      </c>
      <c r="K967">
        <v>19</v>
      </c>
      <c r="L967" s="2">
        <v>203</v>
      </c>
      <c r="M967">
        <v>0</v>
      </c>
      <c r="N967" s="2">
        <v>128.74</v>
      </c>
      <c r="O967" s="2">
        <v>3857</v>
      </c>
      <c r="P967" s="2">
        <v>2446.06</v>
      </c>
      <c r="Q967" s="2">
        <v>1410.94</v>
      </c>
      <c r="R967">
        <v>1</v>
      </c>
      <c r="S967" s="2" t="str">
        <f>TEXT(data[[#This Row],[Date]],"mmm yyyy")</f>
        <v>Jan 2024</v>
      </c>
      <c r="T967" s="8">
        <f>data[[#This Row],[Profit]]/data[[#This Row],[Revenue]]</f>
        <v>0.36581280788177339</v>
      </c>
    </row>
    <row r="968" spans="1:20" x14ac:dyDescent="0.3">
      <c r="A968">
        <v>10966</v>
      </c>
      <c r="B968" t="s">
        <v>50</v>
      </c>
      <c r="C968" t="s">
        <v>606</v>
      </c>
      <c r="D968" t="s">
        <v>620</v>
      </c>
      <c r="E968" t="s">
        <v>627</v>
      </c>
      <c r="F968" t="s">
        <v>1553</v>
      </c>
      <c r="G968" t="s">
        <v>1759</v>
      </c>
      <c r="H968" t="s">
        <v>1768</v>
      </c>
      <c r="I968" t="s">
        <v>1774</v>
      </c>
      <c r="J968" t="s">
        <v>1778</v>
      </c>
      <c r="K968">
        <v>3</v>
      </c>
      <c r="L968" s="2">
        <v>1131</v>
      </c>
      <c r="M968">
        <v>0.1</v>
      </c>
      <c r="N968" s="2">
        <v>813.95</v>
      </c>
      <c r="O968" s="2">
        <v>3053.7</v>
      </c>
      <c r="P968" s="2">
        <v>2441.85</v>
      </c>
      <c r="Q968" s="2">
        <v>611.85</v>
      </c>
      <c r="R968">
        <v>0</v>
      </c>
      <c r="S968" s="2" t="str">
        <f>TEXT(data[[#This Row],[Date]],"mmm yyyy")</f>
        <v>Sep 2025</v>
      </c>
      <c r="T968" s="8">
        <f>data[[#This Row],[Profit]]/data[[#This Row],[Revenue]]</f>
        <v>0.20036349346694177</v>
      </c>
    </row>
    <row r="969" spans="1:20" x14ac:dyDescent="0.3">
      <c r="A969">
        <v>10967</v>
      </c>
      <c r="B969" t="s">
        <v>343</v>
      </c>
      <c r="C969" t="s">
        <v>609</v>
      </c>
      <c r="D969" t="s">
        <v>622</v>
      </c>
      <c r="E969" t="s">
        <v>628</v>
      </c>
      <c r="F969" t="s">
        <v>1554</v>
      </c>
      <c r="G969" t="s">
        <v>1764</v>
      </c>
      <c r="H969" t="s">
        <v>1767</v>
      </c>
      <c r="I969" t="s">
        <v>1773</v>
      </c>
      <c r="J969" t="s">
        <v>1777</v>
      </c>
      <c r="K969">
        <v>13</v>
      </c>
      <c r="L969" s="2">
        <v>174</v>
      </c>
      <c r="M969">
        <v>0.05</v>
      </c>
      <c r="N969" s="2">
        <v>115.82</v>
      </c>
      <c r="O969" s="2">
        <v>2148.9</v>
      </c>
      <c r="P969" s="2">
        <v>1505.66</v>
      </c>
      <c r="Q969" s="2">
        <v>643.24</v>
      </c>
      <c r="R969">
        <v>0</v>
      </c>
      <c r="S969" s="2" t="str">
        <f>TEXT(data[[#This Row],[Date]],"mmm yyyy")</f>
        <v>Sep 2025</v>
      </c>
      <c r="T969" s="8">
        <f>data[[#This Row],[Profit]]/data[[#This Row],[Revenue]]</f>
        <v>0.29933454325468845</v>
      </c>
    </row>
    <row r="970" spans="1:20" x14ac:dyDescent="0.3">
      <c r="A970">
        <v>10968</v>
      </c>
      <c r="B970" t="s">
        <v>519</v>
      </c>
      <c r="C970" t="s">
        <v>606</v>
      </c>
      <c r="D970" t="s">
        <v>610</v>
      </c>
      <c r="E970" t="s">
        <v>628</v>
      </c>
      <c r="F970" t="s">
        <v>839</v>
      </c>
      <c r="G970" t="s">
        <v>1762</v>
      </c>
      <c r="H970" t="s">
        <v>1767</v>
      </c>
      <c r="I970" t="s">
        <v>1775</v>
      </c>
      <c r="J970" t="s">
        <v>1779</v>
      </c>
      <c r="K970">
        <v>1</v>
      </c>
      <c r="L970" s="2">
        <v>92</v>
      </c>
      <c r="M970">
        <v>0</v>
      </c>
      <c r="N970" s="2">
        <v>48.11</v>
      </c>
      <c r="O970" s="2">
        <v>92</v>
      </c>
      <c r="P970" s="2">
        <v>48.11</v>
      </c>
      <c r="Q970" s="2">
        <v>43.89</v>
      </c>
      <c r="R970">
        <v>0</v>
      </c>
      <c r="S970" s="2" t="str">
        <f>TEXT(data[[#This Row],[Date]],"mmm yyyy")</f>
        <v>Apr 2025</v>
      </c>
      <c r="T970" s="8">
        <f>data[[#This Row],[Profit]]/data[[#This Row],[Revenue]]</f>
        <v>0.47706521739130436</v>
      </c>
    </row>
    <row r="971" spans="1:20" x14ac:dyDescent="0.3">
      <c r="A971">
        <v>10969</v>
      </c>
      <c r="B971" t="s">
        <v>556</v>
      </c>
      <c r="C971" t="s">
        <v>607</v>
      </c>
      <c r="D971" t="s">
        <v>624</v>
      </c>
      <c r="E971" t="s">
        <v>626</v>
      </c>
      <c r="F971" t="s">
        <v>1555</v>
      </c>
      <c r="G971" t="s">
        <v>1759</v>
      </c>
      <c r="H971" t="s">
        <v>1771</v>
      </c>
      <c r="I971" t="s">
        <v>1774</v>
      </c>
      <c r="J971" t="s">
        <v>1779</v>
      </c>
      <c r="K971">
        <v>13</v>
      </c>
      <c r="L971" s="2">
        <v>601</v>
      </c>
      <c r="M971">
        <v>0.2</v>
      </c>
      <c r="N971" s="2">
        <v>428.13</v>
      </c>
      <c r="O971" s="2">
        <v>6250.4</v>
      </c>
      <c r="P971" s="2">
        <v>5565.69</v>
      </c>
      <c r="Q971" s="2">
        <v>684.71</v>
      </c>
      <c r="R971">
        <v>0</v>
      </c>
      <c r="S971" s="2" t="str">
        <f>TEXT(data[[#This Row],[Date]],"mmm yyyy")</f>
        <v>Jun 2025</v>
      </c>
      <c r="T971" s="8">
        <f>data[[#This Row],[Profit]]/data[[#This Row],[Revenue]]</f>
        <v>0.10954658901830285</v>
      </c>
    </row>
    <row r="972" spans="1:20" x14ac:dyDescent="0.3">
      <c r="A972">
        <v>10970</v>
      </c>
      <c r="B972" t="s">
        <v>461</v>
      </c>
      <c r="C972" t="s">
        <v>609</v>
      </c>
      <c r="D972" t="s">
        <v>613</v>
      </c>
      <c r="E972" t="s">
        <v>628</v>
      </c>
      <c r="F972" t="s">
        <v>1556</v>
      </c>
      <c r="G972" t="s">
        <v>1763</v>
      </c>
      <c r="H972" t="s">
        <v>1772</v>
      </c>
      <c r="I972" t="s">
        <v>1775</v>
      </c>
      <c r="J972" t="s">
        <v>1778</v>
      </c>
      <c r="K972">
        <v>15</v>
      </c>
      <c r="L972" s="2">
        <v>1099</v>
      </c>
      <c r="M972">
        <v>0.2</v>
      </c>
      <c r="N972" s="2">
        <v>616.91999999999996</v>
      </c>
      <c r="O972" s="2">
        <v>13188</v>
      </c>
      <c r="P972" s="2">
        <v>9253.7999999999993</v>
      </c>
      <c r="Q972" s="2">
        <v>3934.2</v>
      </c>
      <c r="R972">
        <v>0</v>
      </c>
      <c r="S972" s="2" t="str">
        <f>TEXT(data[[#This Row],[Date]],"mmm yyyy")</f>
        <v>Sep 2025</v>
      </c>
      <c r="T972" s="8">
        <f>data[[#This Row],[Profit]]/data[[#This Row],[Revenue]]</f>
        <v>0.29831665150136488</v>
      </c>
    </row>
    <row r="973" spans="1:20" x14ac:dyDescent="0.3">
      <c r="A973">
        <v>10971</v>
      </c>
      <c r="B973" t="s">
        <v>52</v>
      </c>
      <c r="C973" t="s">
        <v>607</v>
      </c>
      <c r="D973" t="s">
        <v>621</v>
      </c>
      <c r="E973" t="s">
        <v>626</v>
      </c>
      <c r="F973" t="s">
        <v>1557</v>
      </c>
      <c r="G973" t="s">
        <v>1764</v>
      </c>
      <c r="H973" t="s">
        <v>1770</v>
      </c>
      <c r="I973" t="s">
        <v>1775</v>
      </c>
      <c r="J973" t="s">
        <v>1776</v>
      </c>
      <c r="K973">
        <v>13</v>
      </c>
      <c r="L973" s="2">
        <v>707</v>
      </c>
      <c r="M973">
        <v>0.2</v>
      </c>
      <c r="N973" s="2">
        <v>523.53</v>
      </c>
      <c r="O973" s="2">
        <v>7352.8</v>
      </c>
      <c r="P973" s="2">
        <v>6805.89</v>
      </c>
      <c r="Q973" s="2">
        <v>546.91</v>
      </c>
      <c r="R973">
        <v>0</v>
      </c>
      <c r="S973" s="2" t="str">
        <f>TEXT(data[[#This Row],[Date]],"mmm yyyy")</f>
        <v>Sep 2024</v>
      </c>
      <c r="T973" s="8">
        <f>data[[#This Row],[Profit]]/data[[#This Row],[Revenue]]</f>
        <v>7.4381188118811878E-2</v>
      </c>
    </row>
    <row r="974" spans="1:20" x14ac:dyDescent="0.3">
      <c r="A974">
        <v>10972</v>
      </c>
      <c r="B974" t="s">
        <v>557</v>
      </c>
      <c r="C974" t="s">
        <v>609</v>
      </c>
      <c r="D974" t="s">
        <v>622</v>
      </c>
      <c r="E974" t="s">
        <v>628</v>
      </c>
      <c r="F974" t="s">
        <v>1558</v>
      </c>
      <c r="G974" t="s">
        <v>1762</v>
      </c>
      <c r="H974" t="s">
        <v>1767</v>
      </c>
      <c r="I974" t="s">
        <v>1774</v>
      </c>
      <c r="J974" t="s">
        <v>1777</v>
      </c>
      <c r="K974">
        <v>5</v>
      </c>
      <c r="L974" s="2">
        <v>242</v>
      </c>
      <c r="M974">
        <v>0.2</v>
      </c>
      <c r="N974" s="2">
        <v>173.4</v>
      </c>
      <c r="O974" s="2">
        <v>968</v>
      </c>
      <c r="P974" s="2">
        <v>867</v>
      </c>
      <c r="Q974" s="2">
        <v>101</v>
      </c>
      <c r="R974">
        <v>0</v>
      </c>
      <c r="S974" s="2" t="str">
        <f>TEXT(data[[#This Row],[Date]],"mmm yyyy")</f>
        <v>Aug 2025</v>
      </c>
      <c r="T974" s="8">
        <f>data[[#This Row],[Profit]]/data[[#This Row],[Revenue]]</f>
        <v>0.10433884297520661</v>
      </c>
    </row>
    <row r="975" spans="1:20" x14ac:dyDescent="0.3">
      <c r="A975">
        <v>10973</v>
      </c>
      <c r="B975" t="s">
        <v>189</v>
      </c>
      <c r="C975" t="s">
        <v>607</v>
      </c>
      <c r="D975" t="s">
        <v>617</v>
      </c>
      <c r="E975" t="s">
        <v>627</v>
      </c>
      <c r="F975" t="s">
        <v>1559</v>
      </c>
      <c r="G975" t="s">
        <v>1759</v>
      </c>
      <c r="H975" t="s">
        <v>1772</v>
      </c>
      <c r="I975" t="s">
        <v>1774</v>
      </c>
      <c r="J975" t="s">
        <v>1778</v>
      </c>
      <c r="K975">
        <v>3</v>
      </c>
      <c r="L975" s="2">
        <v>535</v>
      </c>
      <c r="M975">
        <v>0.05</v>
      </c>
      <c r="N975" s="2">
        <v>297.47000000000003</v>
      </c>
      <c r="O975" s="2">
        <v>1524.75</v>
      </c>
      <c r="P975" s="2">
        <v>892.41</v>
      </c>
      <c r="Q975" s="2">
        <v>632.34</v>
      </c>
      <c r="R975">
        <v>1</v>
      </c>
      <c r="S975" s="2" t="str">
        <f>TEXT(data[[#This Row],[Date]],"mmm yyyy")</f>
        <v>Dec 2024</v>
      </c>
      <c r="T975" s="8">
        <f>data[[#This Row],[Profit]]/data[[#This Row],[Revenue]]</f>
        <v>0.41471716674864734</v>
      </c>
    </row>
    <row r="976" spans="1:20" x14ac:dyDescent="0.3">
      <c r="A976">
        <v>10974</v>
      </c>
      <c r="B976" t="s">
        <v>201</v>
      </c>
      <c r="C976" t="s">
        <v>606</v>
      </c>
      <c r="D976" t="s">
        <v>610</v>
      </c>
      <c r="E976" t="s">
        <v>627</v>
      </c>
      <c r="F976" t="s">
        <v>1560</v>
      </c>
      <c r="G976" t="s">
        <v>1762</v>
      </c>
      <c r="H976" t="s">
        <v>1772</v>
      </c>
      <c r="I976" t="s">
        <v>1773</v>
      </c>
      <c r="J976" t="s">
        <v>1779</v>
      </c>
      <c r="K976">
        <v>11</v>
      </c>
      <c r="L976" s="2">
        <v>628</v>
      </c>
      <c r="M976">
        <v>0.1</v>
      </c>
      <c r="N976" s="2">
        <v>470.56</v>
      </c>
      <c r="O976" s="2">
        <v>6217.2</v>
      </c>
      <c r="P976" s="2">
        <v>5176.16</v>
      </c>
      <c r="Q976" s="2">
        <v>1041.04</v>
      </c>
      <c r="R976">
        <v>1</v>
      </c>
      <c r="S976" s="2" t="str">
        <f>TEXT(data[[#This Row],[Date]],"mmm yyyy")</f>
        <v>Apr 2025</v>
      </c>
      <c r="T976" s="8">
        <f>data[[#This Row],[Profit]]/data[[#This Row],[Revenue]]</f>
        <v>0.16744515215852795</v>
      </c>
    </row>
    <row r="977" spans="1:20" x14ac:dyDescent="0.3">
      <c r="A977">
        <v>10975</v>
      </c>
      <c r="B977" t="s">
        <v>558</v>
      </c>
      <c r="C977" t="s">
        <v>609</v>
      </c>
      <c r="D977" t="s">
        <v>619</v>
      </c>
      <c r="E977" t="s">
        <v>628</v>
      </c>
      <c r="F977" t="s">
        <v>1561</v>
      </c>
      <c r="G977" t="s">
        <v>1759</v>
      </c>
      <c r="H977" t="s">
        <v>1772</v>
      </c>
      <c r="I977" t="s">
        <v>1773</v>
      </c>
      <c r="J977" t="s">
        <v>1777</v>
      </c>
      <c r="K977">
        <v>2</v>
      </c>
      <c r="L977" s="2">
        <v>790</v>
      </c>
      <c r="M977">
        <v>0.15</v>
      </c>
      <c r="N977" s="2">
        <v>512.61</v>
      </c>
      <c r="O977" s="2">
        <v>1343</v>
      </c>
      <c r="P977" s="2">
        <v>1025.22</v>
      </c>
      <c r="Q977" s="2">
        <v>317.77999999999997</v>
      </c>
      <c r="R977">
        <v>1</v>
      </c>
      <c r="S977" s="2" t="str">
        <f>TEXT(data[[#This Row],[Date]],"mmm yyyy")</f>
        <v>Dec 2025</v>
      </c>
      <c r="T977" s="8">
        <f>data[[#This Row],[Profit]]/data[[#This Row],[Revenue]]</f>
        <v>0.23661950856291883</v>
      </c>
    </row>
    <row r="978" spans="1:20" x14ac:dyDescent="0.3">
      <c r="A978">
        <v>10976</v>
      </c>
      <c r="B978" t="s">
        <v>559</v>
      </c>
      <c r="C978" t="s">
        <v>606</v>
      </c>
      <c r="D978" t="s">
        <v>616</v>
      </c>
      <c r="E978" t="s">
        <v>628</v>
      </c>
      <c r="F978" t="s">
        <v>809</v>
      </c>
      <c r="G978" t="s">
        <v>1762</v>
      </c>
      <c r="H978" t="s">
        <v>1770</v>
      </c>
      <c r="I978" t="s">
        <v>1773</v>
      </c>
      <c r="J978" t="s">
        <v>1777</v>
      </c>
      <c r="K978">
        <v>3</v>
      </c>
      <c r="L978" s="2">
        <v>700</v>
      </c>
      <c r="M978">
        <v>0.1</v>
      </c>
      <c r="N978" s="2">
        <v>439.88</v>
      </c>
      <c r="O978" s="2">
        <v>1890</v>
      </c>
      <c r="P978" s="2">
        <v>1319.64</v>
      </c>
      <c r="Q978" s="2">
        <v>570.36</v>
      </c>
      <c r="R978">
        <v>0</v>
      </c>
      <c r="S978" s="2" t="str">
        <f>TEXT(data[[#This Row],[Date]],"mmm yyyy")</f>
        <v>Jan 2024</v>
      </c>
      <c r="T978" s="8">
        <f>data[[#This Row],[Profit]]/data[[#This Row],[Revenue]]</f>
        <v>0.30177777777777781</v>
      </c>
    </row>
    <row r="979" spans="1:20" x14ac:dyDescent="0.3">
      <c r="A979">
        <v>10977</v>
      </c>
      <c r="B979" t="s">
        <v>234</v>
      </c>
      <c r="C979" t="s">
        <v>607</v>
      </c>
      <c r="D979" t="s">
        <v>617</v>
      </c>
      <c r="E979" t="s">
        <v>627</v>
      </c>
      <c r="F979" t="s">
        <v>1562</v>
      </c>
      <c r="G979" t="s">
        <v>1763</v>
      </c>
      <c r="H979" t="s">
        <v>1771</v>
      </c>
      <c r="I979" t="s">
        <v>1773</v>
      </c>
      <c r="J979" t="s">
        <v>1777</v>
      </c>
      <c r="K979">
        <v>15</v>
      </c>
      <c r="L979" s="2">
        <v>378</v>
      </c>
      <c r="M979">
        <v>0</v>
      </c>
      <c r="N979" s="2">
        <v>231.31</v>
      </c>
      <c r="O979" s="2">
        <v>5670</v>
      </c>
      <c r="P979" s="2">
        <v>3469.65</v>
      </c>
      <c r="Q979" s="2">
        <v>2200.35</v>
      </c>
      <c r="R979">
        <v>1</v>
      </c>
      <c r="S979" s="2" t="str">
        <f>TEXT(data[[#This Row],[Date]],"mmm yyyy")</f>
        <v>Aug 2025</v>
      </c>
      <c r="T979" s="8">
        <f>data[[#This Row],[Profit]]/data[[#This Row],[Revenue]]</f>
        <v>0.38806878306878306</v>
      </c>
    </row>
    <row r="980" spans="1:20" x14ac:dyDescent="0.3">
      <c r="A980">
        <v>10978</v>
      </c>
      <c r="B980" t="s">
        <v>147</v>
      </c>
      <c r="C980" t="s">
        <v>608</v>
      </c>
      <c r="D980" t="s">
        <v>612</v>
      </c>
      <c r="E980" t="s">
        <v>629</v>
      </c>
      <c r="F980" t="s">
        <v>1563</v>
      </c>
      <c r="G980" t="s">
        <v>1761</v>
      </c>
      <c r="H980" t="s">
        <v>1770</v>
      </c>
      <c r="I980" t="s">
        <v>1773</v>
      </c>
      <c r="J980" t="s">
        <v>1779</v>
      </c>
      <c r="K980">
        <v>7</v>
      </c>
      <c r="L980" s="2">
        <v>939</v>
      </c>
      <c r="M980">
        <v>0.05</v>
      </c>
      <c r="N980" s="2">
        <v>582.79999999999995</v>
      </c>
      <c r="O980" s="2">
        <v>6244.35</v>
      </c>
      <c r="P980" s="2">
        <v>4079.6</v>
      </c>
      <c r="Q980" s="2">
        <v>2164.75</v>
      </c>
      <c r="R980">
        <v>0</v>
      </c>
      <c r="S980" s="2" t="str">
        <f>TEXT(data[[#This Row],[Date]],"mmm yyyy")</f>
        <v>Feb 2024</v>
      </c>
      <c r="T980" s="8">
        <f>data[[#This Row],[Profit]]/data[[#This Row],[Revenue]]</f>
        <v>0.34667339274704329</v>
      </c>
    </row>
    <row r="981" spans="1:20" x14ac:dyDescent="0.3">
      <c r="A981">
        <v>10979</v>
      </c>
      <c r="B981" t="s">
        <v>560</v>
      </c>
      <c r="C981" t="s">
        <v>606</v>
      </c>
      <c r="D981" t="s">
        <v>620</v>
      </c>
      <c r="E981" t="s">
        <v>629</v>
      </c>
      <c r="F981" t="s">
        <v>1564</v>
      </c>
      <c r="G981" t="s">
        <v>1763</v>
      </c>
      <c r="H981" t="s">
        <v>1770</v>
      </c>
      <c r="I981" t="s">
        <v>1775</v>
      </c>
      <c r="J981" t="s">
        <v>1779</v>
      </c>
      <c r="K981">
        <v>17</v>
      </c>
      <c r="L981" s="2">
        <v>450</v>
      </c>
      <c r="M981">
        <v>0.15</v>
      </c>
      <c r="N981" s="2">
        <v>293.08999999999997</v>
      </c>
      <c r="O981" s="2">
        <v>6502.5</v>
      </c>
      <c r="P981" s="2">
        <v>4982.53</v>
      </c>
      <c r="Q981" s="2">
        <v>1519.97</v>
      </c>
      <c r="R981">
        <v>1</v>
      </c>
      <c r="S981" s="2" t="str">
        <f>TEXT(data[[#This Row],[Date]],"mmm yyyy")</f>
        <v>Aug 2024</v>
      </c>
      <c r="T981" s="8">
        <f>data[[#This Row],[Profit]]/data[[#This Row],[Revenue]]</f>
        <v>0.23375163398692811</v>
      </c>
    </row>
    <row r="982" spans="1:20" x14ac:dyDescent="0.3">
      <c r="A982">
        <v>10980</v>
      </c>
      <c r="B982" t="s">
        <v>298</v>
      </c>
      <c r="C982" t="s">
        <v>608</v>
      </c>
      <c r="D982" t="s">
        <v>615</v>
      </c>
      <c r="E982" t="s">
        <v>629</v>
      </c>
      <c r="F982" t="s">
        <v>1565</v>
      </c>
      <c r="G982" t="s">
        <v>1762</v>
      </c>
      <c r="H982" t="s">
        <v>1767</v>
      </c>
      <c r="I982" t="s">
        <v>1773</v>
      </c>
      <c r="J982" t="s">
        <v>1776</v>
      </c>
      <c r="K982">
        <v>1</v>
      </c>
      <c r="L982" s="2">
        <v>145</v>
      </c>
      <c r="M982">
        <v>0</v>
      </c>
      <c r="N982" s="2">
        <v>101.61</v>
      </c>
      <c r="O982" s="2">
        <v>145</v>
      </c>
      <c r="P982" s="2">
        <v>101.61</v>
      </c>
      <c r="Q982" s="2">
        <v>43.39</v>
      </c>
      <c r="R982">
        <v>0</v>
      </c>
      <c r="S982" s="2" t="str">
        <f>TEXT(data[[#This Row],[Date]],"mmm yyyy")</f>
        <v>Aug 2025</v>
      </c>
      <c r="T982" s="8">
        <f>data[[#This Row],[Profit]]/data[[#This Row],[Revenue]]</f>
        <v>0.29924137931034483</v>
      </c>
    </row>
    <row r="983" spans="1:20" x14ac:dyDescent="0.3">
      <c r="A983">
        <v>10981</v>
      </c>
      <c r="B983" t="s">
        <v>561</v>
      </c>
      <c r="C983" t="s">
        <v>607</v>
      </c>
      <c r="D983" t="s">
        <v>611</v>
      </c>
      <c r="E983" t="s">
        <v>627</v>
      </c>
      <c r="F983" t="s">
        <v>1566</v>
      </c>
      <c r="G983" t="s">
        <v>1759</v>
      </c>
      <c r="H983" t="s">
        <v>1772</v>
      </c>
      <c r="I983" t="s">
        <v>1774</v>
      </c>
      <c r="J983" t="s">
        <v>1778</v>
      </c>
      <c r="K983">
        <v>4</v>
      </c>
      <c r="L983" s="2">
        <v>892</v>
      </c>
      <c r="M983">
        <v>0.2</v>
      </c>
      <c r="N983" s="2">
        <v>581.03</v>
      </c>
      <c r="O983" s="2">
        <v>2854.4</v>
      </c>
      <c r="P983" s="2">
        <v>2324.12</v>
      </c>
      <c r="Q983" s="2">
        <v>530.28</v>
      </c>
      <c r="R983">
        <v>0</v>
      </c>
      <c r="S983" s="2" t="str">
        <f>TEXT(data[[#This Row],[Date]],"mmm yyyy")</f>
        <v>Feb 2025</v>
      </c>
      <c r="T983" s="8">
        <f>data[[#This Row],[Profit]]/data[[#This Row],[Revenue]]</f>
        <v>0.18577634529147979</v>
      </c>
    </row>
    <row r="984" spans="1:20" x14ac:dyDescent="0.3">
      <c r="A984">
        <v>10982</v>
      </c>
      <c r="B984" t="s">
        <v>111</v>
      </c>
      <c r="C984" t="s">
        <v>608</v>
      </c>
      <c r="D984" t="s">
        <v>615</v>
      </c>
      <c r="E984" t="s">
        <v>628</v>
      </c>
      <c r="F984" t="s">
        <v>893</v>
      </c>
      <c r="G984" t="s">
        <v>1759</v>
      </c>
      <c r="H984" t="s">
        <v>1768</v>
      </c>
      <c r="I984" t="s">
        <v>1774</v>
      </c>
      <c r="J984" t="s">
        <v>1777</v>
      </c>
      <c r="K984">
        <v>10</v>
      </c>
      <c r="L984" s="2">
        <v>1067</v>
      </c>
      <c r="M984">
        <v>0.2</v>
      </c>
      <c r="N984" s="2">
        <v>641.62</v>
      </c>
      <c r="O984" s="2">
        <v>8536</v>
      </c>
      <c r="P984" s="2">
        <v>6416.2</v>
      </c>
      <c r="Q984" s="2">
        <v>2119.8000000000002</v>
      </c>
      <c r="R984">
        <v>0</v>
      </c>
      <c r="S984" s="2" t="str">
        <f>TEXT(data[[#This Row],[Date]],"mmm yyyy")</f>
        <v>Dec 2024</v>
      </c>
      <c r="T984" s="8">
        <f>data[[#This Row],[Profit]]/data[[#This Row],[Revenue]]</f>
        <v>0.24833645735707593</v>
      </c>
    </row>
    <row r="985" spans="1:20" x14ac:dyDescent="0.3">
      <c r="A985">
        <v>10983</v>
      </c>
      <c r="B985" t="s">
        <v>419</v>
      </c>
      <c r="C985" t="s">
        <v>606</v>
      </c>
      <c r="D985" t="s">
        <v>620</v>
      </c>
      <c r="E985" t="s">
        <v>629</v>
      </c>
      <c r="F985" t="s">
        <v>1567</v>
      </c>
      <c r="G985" t="s">
        <v>1759</v>
      </c>
      <c r="H985" t="s">
        <v>1769</v>
      </c>
      <c r="I985" t="s">
        <v>1774</v>
      </c>
      <c r="J985" t="s">
        <v>1778</v>
      </c>
      <c r="K985">
        <v>8</v>
      </c>
      <c r="L985" s="2">
        <v>367</v>
      </c>
      <c r="M985">
        <v>0.2</v>
      </c>
      <c r="N985" s="2">
        <v>272.45999999999998</v>
      </c>
      <c r="O985" s="2">
        <v>2348.8000000000002</v>
      </c>
      <c r="P985" s="2">
        <v>2179.6799999999998</v>
      </c>
      <c r="Q985" s="2">
        <v>169.12</v>
      </c>
      <c r="R985">
        <v>0</v>
      </c>
      <c r="S985" s="2" t="str">
        <f>TEXT(data[[#This Row],[Date]],"mmm yyyy")</f>
        <v>Mar 2025</v>
      </c>
      <c r="T985" s="8">
        <f>data[[#This Row],[Profit]]/data[[#This Row],[Revenue]]</f>
        <v>7.2002724795640322E-2</v>
      </c>
    </row>
    <row r="986" spans="1:20" x14ac:dyDescent="0.3">
      <c r="A986">
        <v>10984</v>
      </c>
      <c r="B986" t="s">
        <v>69</v>
      </c>
      <c r="C986" t="s">
        <v>606</v>
      </c>
      <c r="D986" t="s">
        <v>625</v>
      </c>
      <c r="E986" t="s">
        <v>628</v>
      </c>
      <c r="F986" t="s">
        <v>1568</v>
      </c>
      <c r="G986" t="s">
        <v>1762</v>
      </c>
      <c r="H986" t="s">
        <v>1769</v>
      </c>
      <c r="I986" t="s">
        <v>1775</v>
      </c>
      <c r="J986" t="s">
        <v>1776</v>
      </c>
      <c r="K986">
        <v>4</v>
      </c>
      <c r="L986" s="2">
        <v>466</v>
      </c>
      <c r="M986">
        <v>0</v>
      </c>
      <c r="N986" s="2">
        <v>269.12</v>
      </c>
      <c r="O986" s="2">
        <v>1864</v>
      </c>
      <c r="P986" s="2">
        <v>1076.48</v>
      </c>
      <c r="Q986" s="2">
        <v>787.52</v>
      </c>
      <c r="R986">
        <v>0</v>
      </c>
      <c r="S986" s="2" t="str">
        <f>TEXT(data[[#This Row],[Date]],"mmm yyyy")</f>
        <v>Jun 2025</v>
      </c>
      <c r="T986" s="8">
        <f>data[[#This Row],[Profit]]/data[[#This Row],[Revenue]]</f>
        <v>0.4224892703862661</v>
      </c>
    </row>
    <row r="987" spans="1:20" x14ac:dyDescent="0.3">
      <c r="A987">
        <v>10985</v>
      </c>
      <c r="B987" t="s">
        <v>32</v>
      </c>
      <c r="C987" t="s">
        <v>607</v>
      </c>
      <c r="D987" t="s">
        <v>624</v>
      </c>
      <c r="E987" t="s">
        <v>628</v>
      </c>
      <c r="F987" t="s">
        <v>1569</v>
      </c>
      <c r="G987" t="s">
        <v>1759</v>
      </c>
      <c r="H987" t="s">
        <v>1770</v>
      </c>
      <c r="I987" t="s">
        <v>1774</v>
      </c>
      <c r="J987" t="s">
        <v>1776</v>
      </c>
      <c r="K987">
        <v>9</v>
      </c>
      <c r="L987" s="2">
        <v>664</v>
      </c>
      <c r="M987">
        <v>0</v>
      </c>
      <c r="N987" s="2">
        <v>420.57</v>
      </c>
      <c r="O987" s="2">
        <v>5976</v>
      </c>
      <c r="P987" s="2">
        <v>3785.13</v>
      </c>
      <c r="Q987" s="2">
        <v>2190.87</v>
      </c>
      <c r="R987">
        <v>0</v>
      </c>
      <c r="S987" s="2" t="str">
        <f>TEXT(data[[#This Row],[Date]],"mmm yyyy")</f>
        <v>Jan 2024</v>
      </c>
      <c r="T987" s="8">
        <f>data[[#This Row],[Profit]]/data[[#This Row],[Revenue]]</f>
        <v>0.36661144578313254</v>
      </c>
    </row>
    <row r="988" spans="1:20" x14ac:dyDescent="0.3">
      <c r="A988">
        <v>10986</v>
      </c>
      <c r="B988" t="s">
        <v>137</v>
      </c>
      <c r="C988" t="s">
        <v>608</v>
      </c>
      <c r="D988" t="s">
        <v>615</v>
      </c>
      <c r="E988" t="s">
        <v>629</v>
      </c>
      <c r="F988" t="s">
        <v>1570</v>
      </c>
      <c r="G988" t="s">
        <v>1765</v>
      </c>
      <c r="H988" t="s">
        <v>1768</v>
      </c>
      <c r="I988" t="s">
        <v>1774</v>
      </c>
      <c r="J988" t="s">
        <v>1776</v>
      </c>
      <c r="K988">
        <v>20</v>
      </c>
      <c r="L988" s="2">
        <v>1185</v>
      </c>
      <c r="M988">
        <v>0.2</v>
      </c>
      <c r="N988" s="2">
        <v>706.48</v>
      </c>
      <c r="O988" s="2">
        <v>18960</v>
      </c>
      <c r="P988" s="2">
        <v>14129.6</v>
      </c>
      <c r="Q988" s="2">
        <v>4830.3999999999996</v>
      </c>
      <c r="R988">
        <v>0</v>
      </c>
      <c r="S988" s="2" t="str">
        <f>TEXT(data[[#This Row],[Date]],"mmm yyyy")</f>
        <v>May 2025</v>
      </c>
      <c r="T988" s="8">
        <f>data[[#This Row],[Profit]]/data[[#This Row],[Revenue]]</f>
        <v>0.25476793248945145</v>
      </c>
    </row>
    <row r="989" spans="1:20" x14ac:dyDescent="0.3">
      <c r="A989">
        <v>10987</v>
      </c>
      <c r="B989" t="s">
        <v>497</v>
      </c>
      <c r="C989" t="s">
        <v>607</v>
      </c>
      <c r="D989" t="s">
        <v>621</v>
      </c>
      <c r="E989" t="s">
        <v>626</v>
      </c>
      <c r="F989" t="s">
        <v>641</v>
      </c>
      <c r="G989" t="s">
        <v>1765</v>
      </c>
      <c r="H989" t="s">
        <v>1771</v>
      </c>
      <c r="I989" t="s">
        <v>1773</v>
      </c>
      <c r="J989" t="s">
        <v>1776</v>
      </c>
      <c r="K989">
        <v>17</v>
      </c>
      <c r="L989" s="2">
        <v>527</v>
      </c>
      <c r="M989">
        <v>0.05</v>
      </c>
      <c r="N989" s="2">
        <v>273.95999999999998</v>
      </c>
      <c r="O989" s="2">
        <v>8511.0499999999993</v>
      </c>
      <c r="P989" s="2">
        <v>4657.32</v>
      </c>
      <c r="Q989" s="2">
        <v>3853.73</v>
      </c>
      <c r="R989">
        <v>0</v>
      </c>
      <c r="S989" s="2" t="str">
        <f>TEXT(data[[#This Row],[Date]],"mmm yyyy")</f>
        <v>Nov 2024</v>
      </c>
      <c r="T989" s="8">
        <f>data[[#This Row],[Profit]]/data[[#This Row],[Revenue]]</f>
        <v>0.45279137121741742</v>
      </c>
    </row>
    <row r="990" spans="1:20" x14ac:dyDescent="0.3">
      <c r="A990">
        <v>10988</v>
      </c>
      <c r="B990" t="s">
        <v>157</v>
      </c>
      <c r="C990" t="s">
        <v>608</v>
      </c>
      <c r="D990" t="s">
        <v>618</v>
      </c>
      <c r="E990" t="s">
        <v>626</v>
      </c>
      <c r="F990" t="s">
        <v>969</v>
      </c>
      <c r="G990" t="s">
        <v>1763</v>
      </c>
      <c r="H990" t="s">
        <v>1771</v>
      </c>
      <c r="I990" t="s">
        <v>1773</v>
      </c>
      <c r="J990" t="s">
        <v>1778</v>
      </c>
      <c r="K990">
        <v>12</v>
      </c>
      <c r="L990" s="2">
        <v>444</v>
      </c>
      <c r="M990">
        <v>0</v>
      </c>
      <c r="N990" s="2">
        <v>323.22000000000003</v>
      </c>
      <c r="O990" s="2">
        <v>5328</v>
      </c>
      <c r="P990" s="2">
        <v>3878.64</v>
      </c>
      <c r="Q990" s="2">
        <v>1449.36</v>
      </c>
      <c r="R990">
        <v>0</v>
      </c>
      <c r="S990" s="2" t="str">
        <f>TEXT(data[[#This Row],[Date]],"mmm yyyy")</f>
        <v>Feb 2024</v>
      </c>
      <c r="T990" s="8">
        <f>data[[#This Row],[Profit]]/data[[#This Row],[Revenue]]</f>
        <v>0.27202702702702702</v>
      </c>
    </row>
    <row r="991" spans="1:20" x14ac:dyDescent="0.3">
      <c r="A991">
        <v>10989</v>
      </c>
      <c r="B991" t="s">
        <v>316</v>
      </c>
      <c r="C991" t="s">
        <v>607</v>
      </c>
      <c r="D991" t="s">
        <v>611</v>
      </c>
      <c r="E991" t="s">
        <v>626</v>
      </c>
      <c r="F991" t="s">
        <v>1571</v>
      </c>
      <c r="G991" t="s">
        <v>1763</v>
      </c>
      <c r="H991" t="s">
        <v>1772</v>
      </c>
      <c r="I991" t="s">
        <v>1773</v>
      </c>
      <c r="J991" t="s">
        <v>1778</v>
      </c>
      <c r="K991">
        <v>6</v>
      </c>
      <c r="L991" s="2">
        <v>508</v>
      </c>
      <c r="M991">
        <v>0</v>
      </c>
      <c r="N991" s="2">
        <v>342.15</v>
      </c>
      <c r="O991" s="2">
        <v>3048</v>
      </c>
      <c r="P991" s="2">
        <v>2052.9</v>
      </c>
      <c r="Q991" s="2">
        <v>995.1</v>
      </c>
      <c r="R991">
        <v>1</v>
      </c>
      <c r="S991" s="2" t="str">
        <f>TEXT(data[[#This Row],[Date]],"mmm yyyy")</f>
        <v>Jun 2025</v>
      </c>
      <c r="T991" s="8">
        <f>data[[#This Row],[Profit]]/data[[#This Row],[Revenue]]</f>
        <v>0.32647637795275591</v>
      </c>
    </row>
    <row r="992" spans="1:20" x14ac:dyDescent="0.3">
      <c r="A992">
        <v>10990</v>
      </c>
      <c r="B992" t="s">
        <v>129</v>
      </c>
      <c r="C992" t="s">
        <v>607</v>
      </c>
      <c r="D992" t="s">
        <v>621</v>
      </c>
      <c r="E992" t="s">
        <v>627</v>
      </c>
      <c r="F992" t="s">
        <v>1572</v>
      </c>
      <c r="G992" t="s">
        <v>1765</v>
      </c>
      <c r="H992" t="s">
        <v>1769</v>
      </c>
      <c r="I992" t="s">
        <v>1774</v>
      </c>
      <c r="J992" t="s">
        <v>1776</v>
      </c>
      <c r="K992">
        <v>20</v>
      </c>
      <c r="L992" s="2">
        <v>476</v>
      </c>
      <c r="M992">
        <v>0.15</v>
      </c>
      <c r="N992" s="2">
        <v>327.17</v>
      </c>
      <c r="O992" s="2">
        <v>8092</v>
      </c>
      <c r="P992" s="2">
        <v>6543.4</v>
      </c>
      <c r="Q992" s="2">
        <v>1548.6</v>
      </c>
      <c r="R992">
        <v>0</v>
      </c>
      <c r="S992" s="2" t="str">
        <f>TEXT(data[[#This Row],[Date]],"mmm yyyy")</f>
        <v>Dec 2025</v>
      </c>
      <c r="T992" s="8">
        <f>data[[#This Row],[Profit]]/data[[#This Row],[Revenue]]</f>
        <v>0.19137419673751851</v>
      </c>
    </row>
    <row r="993" spans="1:20" x14ac:dyDescent="0.3">
      <c r="A993">
        <v>10991</v>
      </c>
      <c r="B993" t="s">
        <v>562</v>
      </c>
      <c r="C993" t="s">
        <v>609</v>
      </c>
      <c r="D993" t="s">
        <v>622</v>
      </c>
      <c r="E993" t="s">
        <v>627</v>
      </c>
      <c r="F993" t="s">
        <v>1573</v>
      </c>
      <c r="G993" t="s">
        <v>1759</v>
      </c>
      <c r="H993" t="s">
        <v>1768</v>
      </c>
      <c r="I993" t="s">
        <v>1774</v>
      </c>
      <c r="J993" t="s">
        <v>1778</v>
      </c>
      <c r="K993">
        <v>17</v>
      </c>
      <c r="L993" s="2">
        <v>914</v>
      </c>
      <c r="M993">
        <v>0.05</v>
      </c>
      <c r="N993" s="2">
        <v>488.65</v>
      </c>
      <c r="O993" s="2">
        <v>14761.1</v>
      </c>
      <c r="P993" s="2">
        <v>8307.0499999999993</v>
      </c>
      <c r="Q993" s="2">
        <v>6454.05</v>
      </c>
      <c r="R993">
        <v>1</v>
      </c>
      <c r="S993" s="2" t="str">
        <f>TEXT(data[[#This Row],[Date]],"mmm yyyy")</f>
        <v>Jul 2025</v>
      </c>
      <c r="T993" s="8">
        <f>data[[#This Row],[Profit]]/data[[#This Row],[Revenue]]</f>
        <v>0.43723367499712079</v>
      </c>
    </row>
    <row r="994" spans="1:20" x14ac:dyDescent="0.3">
      <c r="A994">
        <v>10992</v>
      </c>
      <c r="B994" t="s">
        <v>323</v>
      </c>
      <c r="C994" t="s">
        <v>609</v>
      </c>
      <c r="D994" t="s">
        <v>619</v>
      </c>
      <c r="E994" t="s">
        <v>626</v>
      </c>
      <c r="F994" t="s">
        <v>1574</v>
      </c>
      <c r="G994" t="s">
        <v>1764</v>
      </c>
      <c r="H994" t="s">
        <v>1770</v>
      </c>
      <c r="I994" t="s">
        <v>1773</v>
      </c>
      <c r="J994" t="s">
        <v>1777</v>
      </c>
      <c r="K994">
        <v>3</v>
      </c>
      <c r="L994" s="2">
        <v>758</v>
      </c>
      <c r="M994">
        <v>0.15</v>
      </c>
      <c r="N994" s="2">
        <v>529.87</v>
      </c>
      <c r="O994" s="2">
        <v>1932.9</v>
      </c>
      <c r="P994" s="2">
        <v>1589.61</v>
      </c>
      <c r="Q994" s="2">
        <v>343.29</v>
      </c>
      <c r="R994">
        <v>1</v>
      </c>
      <c r="S994" s="2" t="str">
        <f>TEXT(data[[#This Row],[Date]],"mmm yyyy")</f>
        <v>Jul 2025</v>
      </c>
      <c r="T994" s="8">
        <f>data[[#This Row],[Profit]]/data[[#This Row],[Revenue]]</f>
        <v>0.17760360080707746</v>
      </c>
    </row>
    <row r="995" spans="1:20" x14ac:dyDescent="0.3">
      <c r="A995">
        <v>10993</v>
      </c>
      <c r="B995" t="s">
        <v>124</v>
      </c>
      <c r="C995" t="s">
        <v>606</v>
      </c>
      <c r="D995" t="s">
        <v>610</v>
      </c>
      <c r="E995" t="s">
        <v>629</v>
      </c>
      <c r="F995" t="s">
        <v>1575</v>
      </c>
      <c r="G995" t="s">
        <v>1761</v>
      </c>
      <c r="H995" t="s">
        <v>1767</v>
      </c>
      <c r="I995" t="s">
        <v>1773</v>
      </c>
      <c r="J995" t="s">
        <v>1779</v>
      </c>
      <c r="K995">
        <v>1</v>
      </c>
      <c r="L995" s="2">
        <v>229</v>
      </c>
      <c r="M995">
        <v>0.15</v>
      </c>
      <c r="N995" s="2">
        <v>130.32</v>
      </c>
      <c r="O995" s="2">
        <v>194.65</v>
      </c>
      <c r="P995" s="2">
        <v>130.32</v>
      </c>
      <c r="Q995" s="2">
        <v>64.33</v>
      </c>
      <c r="R995">
        <v>0</v>
      </c>
      <c r="S995" s="2" t="str">
        <f>TEXT(data[[#This Row],[Date]],"mmm yyyy")</f>
        <v>Sep 2024</v>
      </c>
      <c r="T995" s="8">
        <f>data[[#This Row],[Profit]]/data[[#This Row],[Revenue]]</f>
        <v>0.33049062419727715</v>
      </c>
    </row>
    <row r="996" spans="1:20" x14ac:dyDescent="0.3">
      <c r="A996">
        <v>10994</v>
      </c>
      <c r="B996" t="s">
        <v>478</v>
      </c>
      <c r="C996" t="s">
        <v>609</v>
      </c>
      <c r="D996" t="s">
        <v>623</v>
      </c>
      <c r="E996" t="s">
        <v>628</v>
      </c>
      <c r="F996" t="s">
        <v>1576</v>
      </c>
      <c r="G996" t="s">
        <v>1764</v>
      </c>
      <c r="H996" t="s">
        <v>1772</v>
      </c>
      <c r="I996" t="s">
        <v>1774</v>
      </c>
      <c r="J996" t="s">
        <v>1779</v>
      </c>
      <c r="K996">
        <v>5</v>
      </c>
      <c r="L996" s="2">
        <v>1047</v>
      </c>
      <c r="M996">
        <v>0.15</v>
      </c>
      <c r="N996" s="2">
        <v>764.5</v>
      </c>
      <c r="O996" s="2">
        <v>4449.75</v>
      </c>
      <c r="P996" s="2">
        <v>3822.5</v>
      </c>
      <c r="Q996" s="2">
        <v>627.25</v>
      </c>
      <c r="R996">
        <v>0</v>
      </c>
      <c r="S996" s="2" t="str">
        <f>TEXT(data[[#This Row],[Date]],"mmm yyyy")</f>
        <v>Mar 2024</v>
      </c>
      <c r="T996" s="8">
        <f>data[[#This Row],[Profit]]/data[[#This Row],[Revenue]]</f>
        <v>0.14096297544805889</v>
      </c>
    </row>
    <row r="997" spans="1:20" x14ac:dyDescent="0.3">
      <c r="A997">
        <v>10995</v>
      </c>
      <c r="B997" t="s">
        <v>563</v>
      </c>
      <c r="C997" t="s">
        <v>609</v>
      </c>
      <c r="D997" t="s">
        <v>619</v>
      </c>
      <c r="E997" t="s">
        <v>627</v>
      </c>
      <c r="F997" t="s">
        <v>1577</v>
      </c>
      <c r="G997" t="s">
        <v>1764</v>
      </c>
      <c r="H997" t="s">
        <v>1770</v>
      </c>
      <c r="I997" t="s">
        <v>1774</v>
      </c>
      <c r="J997" t="s">
        <v>1779</v>
      </c>
      <c r="K997">
        <v>4</v>
      </c>
      <c r="L997" s="2">
        <v>864</v>
      </c>
      <c r="M997">
        <v>0.1</v>
      </c>
      <c r="N997" s="2">
        <v>470.59</v>
      </c>
      <c r="O997" s="2">
        <v>3110.4</v>
      </c>
      <c r="P997" s="2">
        <v>1882.36</v>
      </c>
      <c r="Q997" s="2">
        <v>1228.04</v>
      </c>
      <c r="R997">
        <v>1</v>
      </c>
      <c r="S997" s="2" t="str">
        <f>TEXT(data[[#This Row],[Date]],"mmm yyyy")</f>
        <v>Dec 2024</v>
      </c>
      <c r="T997" s="8">
        <f>data[[#This Row],[Profit]]/data[[#This Row],[Revenue]]</f>
        <v>0.39481738683127571</v>
      </c>
    </row>
    <row r="998" spans="1:20" x14ac:dyDescent="0.3">
      <c r="A998">
        <v>10996</v>
      </c>
      <c r="B998" t="s">
        <v>564</v>
      </c>
      <c r="C998" t="s">
        <v>607</v>
      </c>
      <c r="D998" t="s">
        <v>617</v>
      </c>
      <c r="E998" t="s">
        <v>629</v>
      </c>
      <c r="F998" t="s">
        <v>1578</v>
      </c>
      <c r="G998" t="s">
        <v>1763</v>
      </c>
      <c r="H998" t="s">
        <v>1772</v>
      </c>
      <c r="I998" t="s">
        <v>1774</v>
      </c>
      <c r="J998" t="s">
        <v>1776</v>
      </c>
      <c r="K998">
        <v>7</v>
      </c>
      <c r="L998" s="2">
        <v>1140</v>
      </c>
      <c r="M998">
        <v>0.05</v>
      </c>
      <c r="N998" s="2">
        <v>604.84</v>
      </c>
      <c r="O998" s="2">
        <v>7581</v>
      </c>
      <c r="P998" s="2">
        <v>4233.88</v>
      </c>
      <c r="Q998" s="2">
        <v>3347.12</v>
      </c>
      <c r="R998">
        <v>0</v>
      </c>
      <c r="S998" s="2" t="str">
        <f>TEXT(data[[#This Row],[Date]],"mmm yyyy")</f>
        <v>Jun 2025</v>
      </c>
      <c r="T998" s="8">
        <f>data[[#This Row],[Profit]]/data[[#This Row],[Revenue]]</f>
        <v>0.44151431209602954</v>
      </c>
    </row>
    <row r="999" spans="1:20" x14ac:dyDescent="0.3">
      <c r="A999">
        <v>10997</v>
      </c>
      <c r="B999" t="s">
        <v>446</v>
      </c>
      <c r="C999" t="s">
        <v>606</v>
      </c>
      <c r="D999" t="s">
        <v>620</v>
      </c>
      <c r="E999" t="s">
        <v>629</v>
      </c>
      <c r="F999" t="s">
        <v>671</v>
      </c>
      <c r="G999" t="s">
        <v>1760</v>
      </c>
      <c r="H999" t="s">
        <v>1770</v>
      </c>
      <c r="I999" t="s">
        <v>1775</v>
      </c>
      <c r="J999" t="s">
        <v>1779</v>
      </c>
      <c r="K999">
        <v>8</v>
      </c>
      <c r="L999" s="2">
        <v>604</v>
      </c>
      <c r="M999">
        <v>0.1</v>
      </c>
      <c r="N999" s="2">
        <v>307.32</v>
      </c>
      <c r="O999" s="2">
        <v>4348.8</v>
      </c>
      <c r="P999" s="2">
        <v>2458.56</v>
      </c>
      <c r="Q999" s="2">
        <v>1890.24</v>
      </c>
      <c r="R999">
        <v>0</v>
      </c>
      <c r="S999" s="2" t="str">
        <f>TEXT(data[[#This Row],[Date]],"mmm yyyy")</f>
        <v>May 2025</v>
      </c>
      <c r="T999" s="8">
        <f>data[[#This Row],[Profit]]/data[[#This Row],[Revenue]]</f>
        <v>0.43465783664459162</v>
      </c>
    </row>
    <row r="1000" spans="1:20" x14ac:dyDescent="0.3">
      <c r="A1000">
        <v>10998</v>
      </c>
      <c r="B1000" t="s">
        <v>174</v>
      </c>
      <c r="C1000" t="s">
        <v>606</v>
      </c>
      <c r="D1000" t="s">
        <v>620</v>
      </c>
      <c r="E1000" t="s">
        <v>627</v>
      </c>
      <c r="F1000" t="s">
        <v>1579</v>
      </c>
      <c r="G1000" t="s">
        <v>1764</v>
      </c>
      <c r="H1000" t="s">
        <v>1768</v>
      </c>
      <c r="I1000" t="s">
        <v>1775</v>
      </c>
      <c r="J1000" t="s">
        <v>1777</v>
      </c>
      <c r="K1000">
        <v>20</v>
      </c>
      <c r="L1000" s="2">
        <v>1222</v>
      </c>
      <c r="M1000">
        <v>0.1</v>
      </c>
      <c r="N1000" s="2">
        <v>680.1</v>
      </c>
      <c r="O1000" s="2">
        <v>21996</v>
      </c>
      <c r="P1000" s="2">
        <v>13602</v>
      </c>
      <c r="Q1000" s="2">
        <v>8394</v>
      </c>
      <c r="R1000">
        <v>0</v>
      </c>
      <c r="S1000" s="2" t="str">
        <f>TEXT(data[[#This Row],[Date]],"mmm yyyy")</f>
        <v>May 2025</v>
      </c>
      <c r="T1000" s="8">
        <f>data[[#This Row],[Profit]]/data[[#This Row],[Revenue]]</f>
        <v>0.38161483906164756</v>
      </c>
    </row>
    <row r="1001" spans="1:20" x14ac:dyDescent="0.3">
      <c r="A1001">
        <v>10999</v>
      </c>
      <c r="B1001" t="s">
        <v>565</v>
      </c>
      <c r="C1001" t="s">
        <v>606</v>
      </c>
      <c r="D1001" t="s">
        <v>625</v>
      </c>
      <c r="E1001" t="s">
        <v>626</v>
      </c>
      <c r="F1001" t="s">
        <v>1580</v>
      </c>
      <c r="G1001" t="s">
        <v>1760</v>
      </c>
      <c r="H1001" t="s">
        <v>1770</v>
      </c>
      <c r="I1001" t="s">
        <v>1775</v>
      </c>
      <c r="J1001" t="s">
        <v>1776</v>
      </c>
      <c r="K1001">
        <v>14</v>
      </c>
      <c r="L1001" s="2">
        <v>538</v>
      </c>
      <c r="M1001">
        <v>0.05</v>
      </c>
      <c r="N1001" s="2">
        <v>367.84</v>
      </c>
      <c r="O1001" s="2">
        <v>7155.4</v>
      </c>
      <c r="P1001" s="2">
        <v>5149.76</v>
      </c>
      <c r="Q1001" s="2">
        <v>2005.64</v>
      </c>
      <c r="R1001">
        <v>0</v>
      </c>
      <c r="S1001" s="2" t="str">
        <f>TEXT(data[[#This Row],[Date]],"mmm yyyy")</f>
        <v>Jul 2024</v>
      </c>
      <c r="T1001" s="8">
        <f>data[[#This Row],[Profit]]/data[[#This Row],[Revenue]]</f>
        <v>0.28029739776951673</v>
      </c>
    </row>
    <row r="1002" spans="1:20" x14ac:dyDescent="0.3">
      <c r="A1002">
        <v>11000</v>
      </c>
      <c r="B1002" t="s">
        <v>566</v>
      </c>
      <c r="C1002" t="s">
        <v>606</v>
      </c>
      <c r="D1002" t="s">
        <v>610</v>
      </c>
      <c r="E1002" t="s">
        <v>627</v>
      </c>
      <c r="F1002" t="s">
        <v>1581</v>
      </c>
      <c r="G1002" t="s">
        <v>1766</v>
      </c>
      <c r="H1002" t="s">
        <v>1772</v>
      </c>
      <c r="I1002" t="s">
        <v>1773</v>
      </c>
      <c r="J1002" t="s">
        <v>1777</v>
      </c>
      <c r="K1002">
        <v>14</v>
      </c>
      <c r="L1002" s="2">
        <v>950</v>
      </c>
      <c r="M1002">
        <v>0.15</v>
      </c>
      <c r="N1002" s="2">
        <v>476.98</v>
      </c>
      <c r="O1002" s="2">
        <v>11305</v>
      </c>
      <c r="P1002" s="2">
        <v>6677.72</v>
      </c>
      <c r="Q1002" s="2">
        <v>4627.28</v>
      </c>
      <c r="R1002">
        <v>0</v>
      </c>
      <c r="S1002" s="2" t="str">
        <f>TEXT(data[[#This Row],[Date]],"mmm yyyy")</f>
        <v>Jul 2025</v>
      </c>
      <c r="T1002" s="8">
        <f>data[[#This Row],[Profit]]/data[[#This Row],[Revenue]]</f>
        <v>0.40931269349845201</v>
      </c>
    </row>
    <row r="1003" spans="1:20" x14ac:dyDescent="0.3">
      <c r="A1003">
        <v>11001</v>
      </c>
      <c r="B1003" t="s">
        <v>567</v>
      </c>
      <c r="C1003" t="s">
        <v>606</v>
      </c>
      <c r="D1003" t="s">
        <v>625</v>
      </c>
      <c r="E1003" t="s">
        <v>626</v>
      </c>
      <c r="F1003" t="s">
        <v>1582</v>
      </c>
      <c r="G1003" t="s">
        <v>1765</v>
      </c>
      <c r="H1003" t="s">
        <v>1772</v>
      </c>
      <c r="I1003" t="s">
        <v>1775</v>
      </c>
      <c r="J1003" t="s">
        <v>1777</v>
      </c>
      <c r="K1003">
        <v>8</v>
      </c>
      <c r="L1003" s="2">
        <v>1184</v>
      </c>
      <c r="M1003">
        <v>0</v>
      </c>
      <c r="N1003" s="2">
        <v>599.26</v>
      </c>
      <c r="O1003" s="2">
        <v>9472</v>
      </c>
      <c r="P1003" s="2">
        <v>4794.08</v>
      </c>
      <c r="Q1003" s="2">
        <v>4677.92</v>
      </c>
      <c r="R1003">
        <v>0</v>
      </c>
      <c r="S1003" s="2" t="str">
        <f>TEXT(data[[#This Row],[Date]],"mmm yyyy")</f>
        <v>Nov 2024</v>
      </c>
      <c r="T1003" s="8">
        <f>data[[#This Row],[Profit]]/data[[#This Row],[Revenue]]</f>
        <v>0.49386824324324324</v>
      </c>
    </row>
    <row r="1004" spans="1:20" x14ac:dyDescent="0.3">
      <c r="A1004">
        <v>11002</v>
      </c>
      <c r="B1004" t="s">
        <v>441</v>
      </c>
      <c r="C1004" t="s">
        <v>607</v>
      </c>
      <c r="D1004" t="s">
        <v>624</v>
      </c>
      <c r="E1004" t="s">
        <v>627</v>
      </c>
      <c r="F1004" t="s">
        <v>1583</v>
      </c>
      <c r="G1004" t="s">
        <v>1766</v>
      </c>
      <c r="H1004" t="s">
        <v>1771</v>
      </c>
      <c r="I1004" t="s">
        <v>1774</v>
      </c>
      <c r="J1004" t="s">
        <v>1779</v>
      </c>
      <c r="K1004">
        <v>10</v>
      </c>
      <c r="L1004" s="2">
        <v>402</v>
      </c>
      <c r="M1004">
        <v>0</v>
      </c>
      <c r="N1004" s="2">
        <v>217.45</v>
      </c>
      <c r="O1004" s="2">
        <v>4020</v>
      </c>
      <c r="P1004" s="2">
        <v>2174.5</v>
      </c>
      <c r="Q1004" s="2">
        <v>1845.5</v>
      </c>
      <c r="R1004">
        <v>0</v>
      </c>
      <c r="S1004" s="2" t="str">
        <f>TEXT(data[[#This Row],[Date]],"mmm yyyy")</f>
        <v>Jul 2025</v>
      </c>
      <c r="T1004" s="8">
        <f>data[[#This Row],[Profit]]/data[[#This Row],[Revenue]]</f>
        <v>0.45907960199004977</v>
      </c>
    </row>
    <row r="1005" spans="1:20" x14ac:dyDescent="0.3">
      <c r="A1005">
        <v>11003</v>
      </c>
      <c r="B1005" t="s">
        <v>399</v>
      </c>
      <c r="C1005" t="s">
        <v>609</v>
      </c>
      <c r="D1005" t="s">
        <v>622</v>
      </c>
      <c r="E1005" t="s">
        <v>628</v>
      </c>
      <c r="F1005" t="s">
        <v>1584</v>
      </c>
      <c r="G1005" t="s">
        <v>1763</v>
      </c>
      <c r="H1005" t="s">
        <v>1767</v>
      </c>
      <c r="I1005" t="s">
        <v>1775</v>
      </c>
      <c r="J1005" t="s">
        <v>1777</v>
      </c>
      <c r="K1005">
        <v>4</v>
      </c>
      <c r="L1005" s="2">
        <v>102</v>
      </c>
      <c r="M1005">
        <v>0.1</v>
      </c>
      <c r="N1005" s="2">
        <v>62.69</v>
      </c>
      <c r="O1005" s="2">
        <v>367.2</v>
      </c>
      <c r="P1005" s="2">
        <v>250.76</v>
      </c>
      <c r="Q1005" s="2">
        <v>116.44</v>
      </c>
      <c r="R1005">
        <v>0</v>
      </c>
      <c r="S1005" s="2" t="str">
        <f>TEXT(data[[#This Row],[Date]],"mmm yyyy")</f>
        <v>Apr 2025</v>
      </c>
      <c r="T1005" s="8">
        <f>data[[#This Row],[Profit]]/data[[#This Row],[Revenue]]</f>
        <v>0.31710239651416122</v>
      </c>
    </row>
    <row r="1006" spans="1:20" x14ac:dyDescent="0.3">
      <c r="A1006">
        <v>11004</v>
      </c>
      <c r="B1006" t="s">
        <v>39</v>
      </c>
      <c r="C1006" t="s">
        <v>606</v>
      </c>
      <c r="D1006" t="s">
        <v>625</v>
      </c>
      <c r="E1006" t="s">
        <v>626</v>
      </c>
      <c r="F1006" t="s">
        <v>1585</v>
      </c>
      <c r="G1006" t="s">
        <v>1759</v>
      </c>
      <c r="H1006" t="s">
        <v>1772</v>
      </c>
      <c r="I1006" t="s">
        <v>1775</v>
      </c>
      <c r="J1006" t="s">
        <v>1777</v>
      </c>
      <c r="K1006">
        <v>1</v>
      </c>
      <c r="L1006" s="2">
        <v>756</v>
      </c>
      <c r="M1006">
        <v>0</v>
      </c>
      <c r="N1006" s="2">
        <v>415.68</v>
      </c>
      <c r="O1006" s="2">
        <v>756</v>
      </c>
      <c r="P1006" s="2">
        <v>415.68</v>
      </c>
      <c r="Q1006" s="2">
        <v>340.32</v>
      </c>
      <c r="R1006">
        <v>0</v>
      </c>
      <c r="S1006" s="2" t="str">
        <f>TEXT(data[[#This Row],[Date]],"mmm yyyy")</f>
        <v>Apr 2024</v>
      </c>
      <c r="T1006" s="8">
        <f>data[[#This Row],[Profit]]/data[[#This Row],[Revenue]]</f>
        <v>0.45015873015873015</v>
      </c>
    </row>
    <row r="1007" spans="1:20" x14ac:dyDescent="0.3">
      <c r="A1007">
        <v>11005</v>
      </c>
      <c r="B1007" t="s">
        <v>568</v>
      </c>
      <c r="C1007" t="s">
        <v>608</v>
      </c>
      <c r="D1007" t="s">
        <v>614</v>
      </c>
      <c r="E1007" t="s">
        <v>626</v>
      </c>
      <c r="F1007" t="s">
        <v>1586</v>
      </c>
      <c r="G1007" t="s">
        <v>1762</v>
      </c>
      <c r="H1007" t="s">
        <v>1767</v>
      </c>
      <c r="I1007" t="s">
        <v>1774</v>
      </c>
      <c r="J1007" t="s">
        <v>1777</v>
      </c>
      <c r="K1007">
        <v>2</v>
      </c>
      <c r="L1007" s="2">
        <v>289</v>
      </c>
      <c r="M1007">
        <v>0.05</v>
      </c>
      <c r="N1007" s="2">
        <v>216.03</v>
      </c>
      <c r="O1007" s="2">
        <v>549.1</v>
      </c>
      <c r="P1007" s="2">
        <v>432.06</v>
      </c>
      <c r="Q1007" s="2">
        <v>117.04</v>
      </c>
      <c r="R1007">
        <v>0</v>
      </c>
      <c r="S1007" s="2" t="str">
        <f>TEXT(data[[#This Row],[Date]],"mmm yyyy")</f>
        <v>Sep 2025</v>
      </c>
      <c r="T1007" s="8">
        <f>data[[#This Row],[Profit]]/data[[#This Row],[Revenue]]</f>
        <v>0.21314878892733563</v>
      </c>
    </row>
    <row r="1008" spans="1:20" x14ac:dyDescent="0.3">
      <c r="A1008">
        <v>11006</v>
      </c>
      <c r="B1008" t="s">
        <v>411</v>
      </c>
      <c r="C1008" t="s">
        <v>606</v>
      </c>
      <c r="D1008" t="s">
        <v>620</v>
      </c>
      <c r="E1008" t="s">
        <v>629</v>
      </c>
      <c r="F1008" t="s">
        <v>1587</v>
      </c>
      <c r="G1008" t="s">
        <v>1766</v>
      </c>
      <c r="H1008" t="s">
        <v>1769</v>
      </c>
      <c r="I1008" t="s">
        <v>1774</v>
      </c>
      <c r="J1008" t="s">
        <v>1778</v>
      </c>
      <c r="K1008">
        <v>4</v>
      </c>
      <c r="L1008" s="2">
        <v>316</v>
      </c>
      <c r="M1008">
        <v>0.15</v>
      </c>
      <c r="N1008" s="2">
        <v>165.23</v>
      </c>
      <c r="O1008" s="2">
        <v>1074.4000000000001</v>
      </c>
      <c r="P1008" s="2">
        <v>660.92</v>
      </c>
      <c r="Q1008" s="2">
        <v>413.48</v>
      </c>
      <c r="R1008">
        <v>0</v>
      </c>
      <c r="S1008" s="2" t="str">
        <f>TEXT(data[[#This Row],[Date]],"mmm yyyy")</f>
        <v>Aug 2024</v>
      </c>
      <c r="T1008" s="8">
        <f>data[[#This Row],[Profit]]/data[[#This Row],[Revenue]]</f>
        <v>0.38484735666418463</v>
      </c>
    </row>
    <row r="1009" spans="1:20" x14ac:dyDescent="0.3">
      <c r="A1009">
        <v>11007</v>
      </c>
      <c r="B1009" t="s">
        <v>244</v>
      </c>
      <c r="C1009" t="s">
        <v>606</v>
      </c>
      <c r="D1009" t="s">
        <v>616</v>
      </c>
      <c r="E1009" t="s">
        <v>626</v>
      </c>
      <c r="F1009" t="s">
        <v>1588</v>
      </c>
      <c r="G1009" t="s">
        <v>1759</v>
      </c>
      <c r="H1009" t="s">
        <v>1768</v>
      </c>
      <c r="I1009" t="s">
        <v>1775</v>
      </c>
      <c r="J1009" t="s">
        <v>1776</v>
      </c>
      <c r="K1009">
        <v>14</v>
      </c>
      <c r="L1009" s="2">
        <v>1360</v>
      </c>
      <c r="M1009">
        <v>0.15</v>
      </c>
      <c r="N1009" s="2">
        <v>766.73</v>
      </c>
      <c r="O1009" s="2">
        <v>16184</v>
      </c>
      <c r="P1009" s="2">
        <v>10734.22</v>
      </c>
      <c r="Q1009" s="2">
        <v>5449.78</v>
      </c>
      <c r="R1009">
        <v>0</v>
      </c>
      <c r="S1009" s="2" t="str">
        <f>TEXT(data[[#This Row],[Date]],"mmm yyyy")</f>
        <v>Mar 2025</v>
      </c>
      <c r="T1009" s="8">
        <f>data[[#This Row],[Profit]]/data[[#This Row],[Revenue]]</f>
        <v>0.33673875432525952</v>
      </c>
    </row>
    <row r="1010" spans="1:20" x14ac:dyDescent="0.3">
      <c r="A1010">
        <v>11008</v>
      </c>
      <c r="B1010" t="s">
        <v>513</v>
      </c>
      <c r="C1010" t="s">
        <v>607</v>
      </c>
      <c r="D1010" t="s">
        <v>617</v>
      </c>
      <c r="E1010" t="s">
        <v>629</v>
      </c>
      <c r="F1010" t="s">
        <v>1589</v>
      </c>
      <c r="G1010" t="s">
        <v>1762</v>
      </c>
      <c r="H1010" t="s">
        <v>1769</v>
      </c>
      <c r="I1010" t="s">
        <v>1774</v>
      </c>
      <c r="J1010" t="s">
        <v>1776</v>
      </c>
      <c r="K1010">
        <v>16</v>
      </c>
      <c r="L1010" s="2">
        <v>178</v>
      </c>
      <c r="M1010">
        <v>0.15</v>
      </c>
      <c r="N1010" s="2">
        <v>94.15</v>
      </c>
      <c r="O1010" s="2">
        <v>2420.8000000000002</v>
      </c>
      <c r="P1010" s="2">
        <v>1506.4</v>
      </c>
      <c r="Q1010" s="2">
        <v>914.4</v>
      </c>
      <c r="R1010">
        <v>1</v>
      </c>
      <c r="S1010" s="2" t="str">
        <f>TEXT(data[[#This Row],[Date]],"mmm yyyy")</f>
        <v>Jul 2025</v>
      </c>
      <c r="T1010" s="8">
        <f>data[[#This Row],[Profit]]/data[[#This Row],[Revenue]]</f>
        <v>0.37772637144745536</v>
      </c>
    </row>
    <row r="1011" spans="1:20" x14ac:dyDescent="0.3">
      <c r="A1011">
        <v>11009</v>
      </c>
      <c r="B1011" t="s">
        <v>569</v>
      </c>
      <c r="C1011" t="s">
        <v>609</v>
      </c>
      <c r="D1011" t="s">
        <v>613</v>
      </c>
      <c r="E1011" t="s">
        <v>627</v>
      </c>
      <c r="F1011" t="s">
        <v>1191</v>
      </c>
      <c r="G1011" t="s">
        <v>1759</v>
      </c>
      <c r="H1011" t="s">
        <v>1769</v>
      </c>
      <c r="I1011" t="s">
        <v>1774</v>
      </c>
      <c r="J1011" t="s">
        <v>1778</v>
      </c>
      <c r="K1011">
        <v>7</v>
      </c>
      <c r="L1011" s="2">
        <v>314</v>
      </c>
      <c r="M1011">
        <v>0.05</v>
      </c>
      <c r="N1011" s="2">
        <v>215.53</v>
      </c>
      <c r="O1011" s="2">
        <v>2088.1</v>
      </c>
      <c r="P1011" s="2">
        <v>1508.71</v>
      </c>
      <c r="Q1011" s="2">
        <v>579.39</v>
      </c>
      <c r="R1011">
        <v>0</v>
      </c>
      <c r="S1011" s="2" t="str">
        <f>TEXT(data[[#This Row],[Date]],"mmm yyyy")</f>
        <v>Jan 2024</v>
      </c>
      <c r="T1011" s="8">
        <f>data[[#This Row],[Profit]]/data[[#This Row],[Revenue]]</f>
        <v>0.27747234327857861</v>
      </c>
    </row>
    <row r="1012" spans="1:20" x14ac:dyDescent="0.3">
      <c r="A1012">
        <v>11010</v>
      </c>
      <c r="B1012" t="s">
        <v>388</v>
      </c>
      <c r="C1012" t="s">
        <v>607</v>
      </c>
      <c r="D1012" t="s">
        <v>624</v>
      </c>
      <c r="E1012" t="s">
        <v>628</v>
      </c>
      <c r="F1012" t="s">
        <v>1590</v>
      </c>
      <c r="G1012" t="s">
        <v>1763</v>
      </c>
      <c r="H1012" t="s">
        <v>1772</v>
      </c>
      <c r="I1012" t="s">
        <v>1775</v>
      </c>
      <c r="J1012" t="s">
        <v>1778</v>
      </c>
      <c r="K1012">
        <v>4</v>
      </c>
      <c r="L1012" s="2">
        <v>665</v>
      </c>
      <c r="M1012">
        <v>0.1</v>
      </c>
      <c r="N1012" s="2">
        <v>342.18</v>
      </c>
      <c r="O1012" s="2">
        <v>2394</v>
      </c>
      <c r="P1012" s="2">
        <v>1368.72</v>
      </c>
      <c r="Q1012" s="2">
        <v>1025.28</v>
      </c>
      <c r="R1012">
        <v>0</v>
      </c>
      <c r="S1012" s="2" t="str">
        <f>TEXT(data[[#This Row],[Date]],"mmm yyyy")</f>
        <v>May 2025</v>
      </c>
      <c r="T1012" s="8">
        <f>data[[#This Row],[Profit]]/data[[#This Row],[Revenue]]</f>
        <v>0.4282706766917293</v>
      </c>
    </row>
    <row r="1013" spans="1:20" x14ac:dyDescent="0.3">
      <c r="A1013">
        <v>11011</v>
      </c>
      <c r="B1013" t="s">
        <v>72</v>
      </c>
      <c r="C1013" t="s">
        <v>607</v>
      </c>
      <c r="D1013" t="s">
        <v>624</v>
      </c>
      <c r="E1013" t="s">
        <v>627</v>
      </c>
      <c r="F1013" t="s">
        <v>1591</v>
      </c>
      <c r="G1013" t="s">
        <v>1760</v>
      </c>
      <c r="H1013" t="s">
        <v>1768</v>
      </c>
      <c r="I1013" t="s">
        <v>1775</v>
      </c>
      <c r="J1013" t="s">
        <v>1777</v>
      </c>
      <c r="K1013">
        <v>17</v>
      </c>
      <c r="L1013" s="2">
        <v>847</v>
      </c>
      <c r="M1013">
        <v>0.05</v>
      </c>
      <c r="N1013" s="2">
        <v>620.63</v>
      </c>
      <c r="O1013" s="2">
        <v>13679.05</v>
      </c>
      <c r="P1013" s="2">
        <v>10550.71</v>
      </c>
      <c r="Q1013" s="2">
        <v>3128.34</v>
      </c>
      <c r="R1013">
        <v>0</v>
      </c>
      <c r="S1013" s="2" t="str">
        <f>TEXT(data[[#This Row],[Date]],"mmm yyyy")</f>
        <v>Jul 2024</v>
      </c>
      <c r="T1013" s="8">
        <f>data[[#This Row],[Profit]]/data[[#This Row],[Revenue]]</f>
        <v>0.22869570620766796</v>
      </c>
    </row>
    <row r="1014" spans="1:20" x14ac:dyDescent="0.3">
      <c r="A1014">
        <v>11012</v>
      </c>
      <c r="B1014" t="s">
        <v>48</v>
      </c>
      <c r="C1014" t="s">
        <v>607</v>
      </c>
      <c r="D1014" t="s">
        <v>617</v>
      </c>
      <c r="E1014" t="s">
        <v>627</v>
      </c>
      <c r="F1014" t="s">
        <v>1592</v>
      </c>
      <c r="G1014" t="s">
        <v>1761</v>
      </c>
      <c r="H1014" t="s">
        <v>1768</v>
      </c>
      <c r="I1014" t="s">
        <v>1775</v>
      </c>
      <c r="J1014" t="s">
        <v>1777</v>
      </c>
      <c r="K1014">
        <v>11</v>
      </c>
      <c r="L1014" s="2">
        <v>1362</v>
      </c>
      <c r="M1014">
        <v>0.1</v>
      </c>
      <c r="N1014" s="2">
        <v>865.5</v>
      </c>
      <c r="O1014" s="2">
        <v>13483.8</v>
      </c>
      <c r="P1014" s="2">
        <v>9520.5</v>
      </c>
      <c r="Q1014" s="2">
        <v>3963.3</v>
      </c>
      <c r="R1014">
        <v>1</v>
      </c>
      <c r="S1014" s="2" t="str">
        <f>TEXT(data[[#This Row],[Date]],"mmm yyyy")</f>
        <v>Jun 2025</v>
      </c>
      <c r="T1014" s="8">
        <f>data[[#This Row],[Profit]]/data[[#This Row],[Revenue]]</f>
        <v>0.29393049437102303</v>
      </c>
    </row>
    <row r="1015" spans="1:20" x14ac:dyDescent="0.3">
      <c r="A1015">
        <v>11013</v>
      </c>
      <c r="B1015" t="s">
        <v>539</v>
      </c>
      <c r="C1015" t="s">
        <v>609</v>
      </c>
      <c r="D1015" t="s">
        <v>623</v>
      </c>
      <c r="E1015" t="s">
        <v>628</v>
      </c>
      <c r="F1015" t="s">
        <v>1009</v>
      </c>
      <c r="G1015" t="s">
        <v>1760</v>
      </c>
      <c r="H1015" t="s">
        <v>1768</v>
      </c>
      <c r="I1015" t="s">
        <v>1775</v>
      </c>
      <c r="J1015" t="s">
        <v>1777</v>
      </c>
      <c r="K1015">
        <v>14</v>
      </c>
      <c r="L1015" s="2">
        <v>1117</v>
      </c>
      <c r="M1015">
        <v>0</v>
      </c>
      <c r="N1015" s="2">
        <v>780.53</v>
      </c>
      <c r="O1015" s="2">
        <v>15638</v>
      </c>
      <c r="P1015" s="2">
        <v>10927.42</v>
      </c>
      <c r="Q1015" s="2">
        <v>4710.58</v>
      </c>
      <c r="R1015">
        <v>1</v>
      </c>
      <c r="S1015" s="2" t="str">
        <f>TEXT(data[[#This Row],[Date]],"mmm yyyy")</f>
        <v>Jul 2024</v>
      </c>
      <c r="T1015" s="8">
        <f>data[[#This Row],[Profit]]/data[[#This Row],[Revenue]]</f>
        <v>0.30122649955237241</v>
      </c>
    </row>
    <row r="1016" spans="1:20" x14ac:dyDescent="0.3">
      <c r="A1016">
        <v>11014</v>
      </c>
      <c r="B1016" t="s">
        <v>138</v>
      </c>
      <c r="C1016" t="s">
        <v>607</v>
      </c>
      <c r="D1016" t="s">
        <v>611</v>
      </c>
      <c r="E1016" t="s">
        <v>628</v>
      </c>
      <c r="F1016" t="s">
        <v>1593</v>
      </c>
      <c r="G1016" t="s">
        <v>1761</v>
      </c>
      <c r="H1016" t="s">
        <v>1769</v>
      </c>
      <c r="I1016" t="s">
        <v>1774</v>
      </c>
      <c r="J1016" t="s">
        <v>1778</v>
      </c>
      <c r="K1016">
        <v>6</v>
      </c>
      <c r="L1016" s="2">
        <v>159</v>
      </c>
      <c r="M1016">
        <v>0</v>
      </c>
      <c r="N1016" s="2">
        <v>101.06</v>
      </c>
      <c r="O1016" s="2">
        <v>954</v>
      </c>
      <c r="P1016" s="2">
        <v>606.36</v>
      </c>
      <c r="Q1016" s="2">
        <v>347.64</v>
      </c>
      <c r="R1016">
        <v>0</v>
      </c>
      <c r="S1016" s="2" t="str">
        <f>TEXT(data[[#This Row],[Date]],"mmm yyyy")</f>
        <v>May 2025</v>
      </c>
      <c r="T1016" s="8">
        <f>data[[#This Row],[Profit]]/data[[#This Row],[Revenue]]</f>
        <v>0.36440251572327043</v>
      </c>
    </row>
    <row r="1017" spans="1:20" x14ac:dyDescent="0.3">
      <c r="A1017">
        <v>11015</v>
      </c>
      <c r="B1017" t="s">
        <v>447</v>
      </c>
      <c r="C1017" t="s">
        <v>608</v>
      </c>
      <c r="D1017" t="s">
        <v>614</v>
      </c>
      <c r="E1017" t="s">
        <v>626</v>
      </c>
      <c r="F1017" t="s">
        <v>1594</v>
      </c>
      <c r="G1017" t="s">
        <v>1760</v>
      </c>
      <c r="H1017" t="s">
        <v>1767</v>
      </c>
      <c r="I1017" t="s">
        <v>1775</v>
      </c>
      <c r="J1017" t="s">
        <v>1777</v>
      </c>
      <c r="K1017">
        <v>5</v>
      </c>
      <c r="L1017" s="2">
        <v>122</v>
      </c>
      <c r="M1017">
        <v>0.05</v>
      </c>
      <c r="N1017" s="2">
        <v>73.88</v>
      </c>
      <c r="O1017" s="2">
        <v>579.5</v>
      </c>
      <c r="P1017" s="2">
        <v>369.4</v>
      </c>
      <c r="Q1017" s="2">
        <v>210.1</v>
      </c>
      <c r="R1017">
        <v>1</v>
      </c>
      <c r="S1017" s="2" t="str">
        <f>TEXT(data[[#This Row],[Date]],"mmm yyyy")</f>
        <v>May 2024</v>
      </c>
      <c r="T1017" s="8">
        <f>data[[#This Row],[Profit]]/data[[#This Row],[Revenue]]</f>
        <v>0.36255392579810181</v>
      </c>
    </row>
    <row r="1018" spans="1:20" x14ac:dyDescent="0.3">
      <c r="A1018">
        <v>11016</v>
      </c>
      <c r="B1018" t="s">
        <v>514</v>
      </c>
      <c r="C1018" t="s">
        <v>607</v>
      </c>
      <c r="D1018" t="s">
        <v>617</v>
      </c>
      <c r="E1018" t="s">
        <v>629</v>
      </c>
      <c r="F1018" t="s">
        <v>1595</v>
      </c>
      <c r="G1018" t="s">
        <v>1766</v>
      </c>
      <c r="H1018" t="s">
        <v>1767</v>
      </c>
      <c r="I1018" t="s">
        <v>1775</v>
      </c>
      <c r="J1018" t="s">
        <v>1777</v>
      </c>
      <c r="K1018">
        <v>2</v>
      </c>
      <c r="L1018" s="2">
        <v>144</v>
      </c>
      <c r="M1018">
        <v>0.15</v>
      </c>
      <c r="N1018" s="2">
        <v>97.94</v>
      </c>
      <c r="O1018" s="2">
        <v>244.8</v>
      </c>
      <c r="P1018" s="2">
        <v>195.88</v>
      </c>
      <c r="Q1018" s="2">
        <v>48.92</v>
      </c>
      <c r="R1018">
        <v>1</v>
      </c>
      <c r="S1018" s="2" t="str">
        <f>TEXT(data[[#This Row],[Date]],"mmm yyyy")</f>
        <v>Aug 2024</v>
      </c>
      <c r="T1018" s="8">
        <f>data[[#This Row],[Profit]]/data[[#This Row],[Revenue]]</f>
        <v>0.19983660130718953</v>
      </c>
    </row>
    <row r="1019" spans="1:20" x14ac:dyDescent="0.3">
      <c r="A1019">
        <v>11017</v>
      </c>
      <c r="B1019" t="s">
        <v>213</v>
      </c>
      <c r="C1019" t="s">
        <v>609</v>
      </c>
      <c r="D1019" t="s">
        <v>613</v>
      </c>
      <c r="E1019" t="s">
        <v>627</v>
      </c>
      <c r="F1019" t="s">
        <v>1051</v>
      </c>
      <c r="G1019" t="s">
        <v>1766</v>
      </c>
      <c r="H1019" t="s">
        <v>1768</v>
      </c>
      <c r="I1019" t="s">
        <v>1774</v>
      </c>
      <c r="J1019" t="s">
        <v>1779</v>
      </c>
      <c r="K1019">
        <v>4</v>
      </c>
      <c r="L1019" s="2">
        <v>1016</v>
      </c>
      <c r="M1019">
        <v>0.2</v>
      </c>
      <c r="N1019" s="2">
        <v>525.59</v>
      </c>
      <c r="O1019" s="2">
        <v>3251.2</v>
      </c>
      <c r="P1019" s="2">
        <v>2102.36</v>
      </c>
      <c r="Q1019" s="2">
        <v>1148.8399999999999</v>
      </c>
      <c r="R1019">
        <v>0</v>
      </c>
      <c r="S1019" s="2" t="str">
        <f>TEXT(data[[#This Row],[Date]],"mmm yyyy")</f>
        <v>Jan 2025</v>
      </c>
      <c r="T1019" s="8">
        <f>data[[#This Row],[Profit]]/data[[#This Row],[Revenue]]</f>
        <v>0.35335875984251969</v>
      </c>
    </row>
    <row r="1020" spans="1:20" x14ac:dyDescent="0.3">
      <c r="A1020">
        <v>11018</v>
      </c>
      <c r="B1020" t="s">
        <v>570</v>
      </c>
      <c r="C1020" t="s">
        <v>606</v>
      </c>
      <c r="D1020" t="s">
        <v>610</v>
      </c>
      <c r="E1020" t="s">
        <v>627</v>
      </c>
      <c r="F1020" t="s">
        <v>1596</v>
      </c>
      <c r="G1020" t="s">
        <v>1766</v>
      </c>
      <c r="H1020" t="s">
        <v>1771</v>
      </c>
      <c r="I1020" t="s">
        <v>1774</v>
      </c>
      <c r="J1020" t="s">
        <v>1778</v>
      </c>
      <c r="K1020">
        <v>8</v>
      </c>
      <c r="L1020" s="2">
        <v>547</v>
      </c>
      <c r="M1020">
        <v>0.05</v>
      </c>
      <c r="N1020" s="2">
        <v>333.81</v>
      </c>
      <c r="O1020" s="2">
        <v>4157.2</v>
      </c>
      <c r="P1020" s="2">
        <v>2670.48</v>
      </c>
      <c r="Q1020" s="2">
        <v>1486.72</v>
      </c>
      <c r="R1020">
        <v>0</v>
      </c>
      <c r="S1020" s="2" t="str">
        <f>TEXT(data[[#This Row],[Date]],"mmm yyyy")</f>
        <v>Sep 2025</v>
      </c>
      <c r="T1020" s="8">
        <f>data[[#This Row],[Profit]]/data[[#This Row],[Revenue]]</f>
        <v>0.35762532473780434</v>
      </c>
    </row>
    <row r="1021" spans="1:20" x14ac:dyDescent="0.3">
      <c r="A1021">
        <v>11019</v>
      </c>
      <c r="B1021" t="s">
        <v>571</v>
      </c>
      <c r="C1021" t="s">
        <v>606</v>
      </c>
      <c r="D1021" t="s">
        <v>616</v>
      </c>
      <c r="E1021" t="s">
        <v>627</v>
      </c>
      <c r="F1021" t="s">
        <v>1597</v>
      </c>
      <c r="G1021" t="s">
        <v>1760</v>
      </c>
      <c r="H1021" t="s">
        <v>1769</v>
      </c>
      <c r="I1021" t="s">
        <v>1775</v>
      </c>
      <c r="J1021" t="s">
        <v>1777</v>
      </c>
      <c r="K1021">
        <v>6</v>
      </c>
      <c r="L1021" s="2">
        <v>421</v>
      </c>
      <c r="M1021">
        <v>0.05</v>
      </c>
      <c r="N1021" s="2">
        <v>311.33</v>
      </c>
      <c r="O1021" s="2">
        <v>2399.6999999999998</v>
      </c>
      <c r="P1021" s="2">
        <v>1867.98</v>
      </c>
      <c r="Q1021" s="2">
        <v>531.72</v>
      </c>
      <c r="R1021">
        <v>0</v>
      </c>
      <c r="S1021" s="2" t="str">
        <f>TEXT(data[[#This Row],[Date]],"mmm yyyy")</f>
        <v>Apr 2024</v>
      </c>
      <c r="T1021" s="8">
        <f>data[[#This Row],[Profit]]/data[[#This Row],[Revenue]]</f>
        <v>0.22157769721215154</v>
      </c>
    </row>
    <row r="1022" spans="1:20" x14ac:dyDescent="0.3">
      <c r="A1022">
        <v>11020</v>
      </c>
      <c r="B1022" t="s">
        <v>167</v>
      </c>
      <c r="C1022" t="s">
        <v>606</v>
      </c>
      <c r="D1022" t="s">
        <v>616</v>
      </c>
      <c r="E1022" t="s">
        <v>627</v>
      </c>
      <c r="F1022" t="s">
        <v>1598</v>
      </c>
      <c r="G1022" t="s">
        <v>1766</v>
      </c>
      <c r="H1022" t="s">
        <v>1771</v>
      </c>
      <c r="I1022" t="s">
        <v>1773</v>
      </c>
      <c r="J1022" t="s">
        <v>1778</v>
      </c>
      <c r="K1022">
        <v>16</v>
      </c>
      <c r="L1022" s="2">
        <v>454</v>
      </c>
      <c r="M1022">
        <v>0.15</v>
      </c>
      <c r="N1022" s="2">
        <v>320.43</v>
      </c>
      <c r="O1022" s="2">
        <v>6174.4</v>
      </c>
      <c r="P1022" s="2">
        <v>5126.88</v>
      </c>
      <c r="Q1022" s="2">
        <v>1047.52</v>
      </c>
      <c r="R1022">
        <v>0</v>
      </c>
      <c r="S1022" s="2" t="str">
        <f>TEXT(data[[#This Row],[Date]],"mmm yyyy")</f>
        <v>Nov 2024</v>
      </c>
      <c r="T1022" s="8">
        <f>data[[#This Row],[Profit]]/data[[#This Row],[Revenue]]</f>
        <v>0.16965535112723504</v>
      </c>
    </row>
    <row r="1023" spans="1:20" x14ac:dyDescent="0.3">
      <c r="A1023">
        <v>11021</v>
      </c>
      <c r="B1023" t="s">
        <v>511</v>
      </c>
      <c r="C1023" t="s">
        <v>606</v>
      </c>
      <c r="D1023" t="s">
        <v>616</v>
      </c>
      <c r="E1023" t="s">
        <v>629</v>
      </c>
      <c r="F1023" t="s">
        <v>1599</v>
      </c>
      <c r="G1023" t="s">
        <v>1762</v>
      </c>
      <c r="H1023" t="s">
        <v>1770</v>
      </c>
      <c r="I1023" t="s">
        <v>1774</v>
      </c>
      <c r="J1023" t="s">
        <v>1779</v>
      </c>
      <c r="K1023">
        <v>2</v>
      </c>
      <c r="L1023" s="2">
        <v>517</v>
      </c>
      <c r="M1023">
        <v>0.2</v>
      </c>
      <c r="N1023" s="2">
        <v>313.45999999999998</v>
      </c>
      <c r="O1023" s="2">
        <v>827.2</v>
      </c>
      <c r="P1023" s="2">
        <v>626.91999999999996</v>
      </c>
      <c r="Q1023" s="2">
        <v>200.28</v>
      </c>
      <c r="R1023">
        <v>0</v>
      </c>
      <c r="S1023" s="2" t="str">
        <f>TEXT(data[[#This Row],[Date]],"mmm yyyy")</f>
        <v>Apr 2025</v>
      </c>
      <c r="T1023" s="8">
        <f>data[[#This Row],[Profit]]/data[[#This Row],[Revenue]]</f>
        <v>0.24211798839458412</v>
      </c>
    </row>
    <row r="1024" spans="1:20" x14ac:dyDescent="0.3">
      <c r="A1024">
        <v>11022</v>
      </c>
      <c r="B1024" t="s">
        <v>108</v>
      </c>
      <c r="C1024" t="s">
        <v>609</v>
      </c>
      <c r="D1024" t="s">
        <v>613</v>
      </c>
      <c r="E1024" t="s">
        <v>626</v>
      </c>
      <c r="F1024" t="s">
        <v>1600</v>
      </c>
      <c r="G1024" t="s">
        <v>1766</v>
      </c>
      <c r="H1024" t="s">
        <v>1772</v>
      </c>
      <c r="I1024" t="s">
        <v>1773</v>
      </c>
      <c r="J1024" t="s">
        <v>1777</v>
      </c>
      <c r="K1024">
        <v>9</v>
      </c>
      <c r="L1024" s="2">
        <v>1016</v>
      </c>
      <c r="M1024">
        <v>0.15</v>
      </c>
      <c r="N1024" s="2">
        <v>671.97</v>
      </c>
      <c r="O1024" s="2">
        <v>7772.4</v>
      </c>
      <c r="P1024" s="2">
        <v>6047.73</v>
      </c>
      <c r="Q1024" s="2">
        <v>1724.67</v>
      </c>
      <c r="R1024">
        <v>0</v>
      </c>
      <c r="S1024" s="2" t="str">
        <f>TEXT(data[[#This Row],[Date]],"mmm yyyy")</f>
        <v>Dec 2025</v>
      </c>
      <c r="T1024" s="8">
        <f>data[[#This Row],[Profit]]/data[[#This Row],[Revenue]]</f>
        <v>0.22189671144048173</v>
      </c>
    </row>
    <row r="1025" spans="1:20" x14ac:dyDescent="0.3">
      <c r="A1025">
        <v>11023</v>
      </c>
      <c r="B1025" t="s">
        <v>572</v>
      </c>
      <c r="C1025" t="s">
        <v>608</v>
      </c>
      <c r="D1025" t="s">
        <v>618</v>
      </c>
      <c r="E1025" t="s">
        <v>628</v>
      </c>
      <c r="F1025" t="s">
        <v>1601</v>
      </c>
      <c r="G1025" t="s">
        <v>1760</v>
      </c>
      <c r="H1025" t="s">
        <v>1769</v>
      </c>
      <c r="I1025" t="s">
        <v>1774</v>
      </c>
      <c r="J1025" t="s">
        <v>1776</v>
      </c>
      <c r="K1025">
        <v>16</v>
      </c>
      <c r="L1025" s="2">
        <v>310</v>
      </c>
      <c r="M1025">
        <v>0.1</v>
      </c>
      <c r="N1025" s="2">
        <v>188.78</v>
      </c>
      <c r="O1025" s="2">
        <v>4464</v>
      </c>
      <c r="P1025" s="2">
        <v>3020.48</v>
      </c>
      <c r="Q1025" s="2">
        <v>1443.52</v>
      </c>
      <c r="R1025">
        <v>0</v>
      </c>
      <c r="S1025" s="2" t="str">
        <f>TEXT(data[[#This Row],[Date]],"mmm yyyy")</f>
        <v>Mar 2024</v>
      </c>
      <c r="T1025" s="8">
        <f>data[[#This Row],[Profit]]/data[[#This Row],[Revenue]]</f>
        <v>0.32336917562724016</v>
      </c>
    </row>
    <row r="1026" spans="1:20" x14ac:dyDescent="0.3">
      <c r="A1026">
        <v>11024</v>
      </c>
      <c r="B1026" t="s">
        <v>352</v>
      </c>
      <c r="C1026" t="s">
        <v>608</v>
      </c>
      <c r="D1026" t="s">
        <v>612</v>
      </c>
      <c r="E1026" t="s">
        <v>628</v>
      </c>
      <c r="F1026" t="s">
        <v>1602</v>
      </c>
      <c r="G1026" t="s">
        <v>1760</v>
      </c>
      <c r="H1026" t="s">
        <v>1771</v>
      </c>
      <c r="I1026" t="s">
        <v>1775</v>
      </c>
      <c r="J1026" t="s">
        <v>1779</v>
      </c>
      <c r="K1026">
        <v>9</v>
      </c>
      <c r="L1026" s="2">
        <v>574</v>
      </c>
      <c r="M1026">
        <v>0.1</v>
      </c>
      <c r="N1026" s="2">
        <v>354.11</v>
      </c>
      <c r="O1026" s="2">
        <v>4649.3999999999996</v>
      </c>
      <c r="P1026" s="2">
        <v>3186.99</v>
      </c>
      <c r="Q1026" s="2">
        <v>1462.41</v>
      </c>
      <c r="R1026">
        <v>0</v>
      </c>
      <c r="S1026" s="2" t="str">
        <f>TEXT(data[[#This Row],[Date]],"mmm yyyy")</f>
        <v>Feb 2025</v>
      </c>
      <c r="T1026" s="8">
        <f>data[[#This Row],[Profit]]/data[[#This Row],[Revenue]]</f>
        <v>0.3145373596593109</v>
      </c>
    </row>
    <row r="1027" spans="1:20" x14ac:dyDescent="0.3">
      <c r="A1027">
        <v>11025</v>
      </c>
      <c r="B1027" t="s">
        <v>330</v>
      </c>
      <c r="C1027" t="s">
        <v>607</v>
      </c>
      <c r="D1027" t="s">
        <v>624</v>
      </c>
      <c r="E1027" t="s">
        <v>629</v>
      </c>
      <c r="F1027" t="s">
        <v>1603</v>
      </c>
      <c r="G1027" t="s">
        <v>1762</v>
      </c>
      <c r="H1027" t="s">
        <v>1767</v>
      </c>
      <c r="I1027" t="s">
        <v>1775</v>
      </c>
      <c r="J1027" t="s">
        <v>1776</v>
      </c>
      <c r="K1027">
        <v>13</v>
      </c>
      <c r="L1027" s="2">
        <v>228</v>
      </c>
      <c r="M1027">
        <v>0.2</v>
      </c>
      <c r="N1027" s="2">
        <v>129.66999999999999</v>
      </c>
      <c r="O1027" s="2">
        <v>2371.1999999999998</v>
      </c>
      <c r="P1027" s="2">
        <v>1685.71</v>
      </c>
      <c r="Q1027" s="2">
        <v>685.49</v>
      </c>
      <c r="R1027">
        <v>0</v>
      </c>
      <c r="S1027" s="2" t="str">
        <f>TEXT(data[[#This Row],[Date]],"mmm yyyy")</f>
        <v>Feb 2024</v>
      </c>
      <c r="T1027" s="8">
        <f>data[[#This Row],[Profit]]/data[[#This Row],[Revenue]]</f>
        <v>0.2890899122807018</v>
      </c>
    </row>
    <row r="1028" spans="1:20" x14ac:dyDescent="0.3">
      <c r="A1028">
        <v>11026</v>
      </c>
      <c r="B1028" t="s">
        <v>284</v>
      </c>
      <c r="C1028" t="s">
        <v>606</v>
      </c>
      <c r="D1028" t="s">
        <v>610</v>
      </c>
      <c r="E1028" t="s">
        <v>628</v>
      </c>
      <c r="F1028" t="s">
        <v>1604</v>
      </c>
      <c r="G1028" t="s">
        <v>1765</v>
      </c>
      <c r="H1028" t="s">
        <v>1772</v>
      </c>
      <c r="I1028" t="s">
        <v>1774</v>
      </c>
      <c r="J1028" t="s">
        <v>1777</v>
      </c>
      <c r="K1028">
        <v>18</v>
      </c>
      <c r="L1028" s="2">
        <v>627</v>
      </c>
      <c r="M1028">
        <v>0.15</v>
      </c>
      <c r="N1028" s="2">
        <v>430.43</v>
      </c>
      <c r="O1028" s="2">
        <v>9593.1</v>
      </c>
      <c r="P1028" s="2">
        <v>7747.74</v>
      </c>
      <c r="Q1028" s="2">
        <v>1845.36</v>
      </c>
      <c r="R1028">
        <v>0</v>
      </c>
      <c r="S1028" s="2" t="str">
        <f>TEXT(data[[#This Row],[Date]],"mmm yyyy")</f>
        <v>Apr 2025</v>
      </c>
      <c r="T1028" s="8">
        <f>data[[#This Row],[Profit]]/data[[#This Row],[Revenue]]</f>
        <v>0.19236326109391122</v>
      </c>
    </row>
    <row r="1029" spans="1:20" x14ac:dyDescent="0.3">
      <c r="A1029">
        <v>11027</v>
      </c>
      <c r="B1029" t="s">
        <v>61</v>
      </c>
      <c r="C1029" t="s">
        <v>607</v>
      </c>
      <c r="D1029" t="s">
        <v>624</v>
      </c>
      <c r="E1029" t="s">
        <v>628</v>
      </c>
      <c r="F1029" t="s">
        <v>1605</v>
      </c>
      <c r="G1029" t="s">
        <v>1760</v>
      </c>
      <c r="H1029" t="s">
        <v>1768</v>
      </c>
      <c r="I1029" t="s">
        <v>1773</v>
      </c>
      <c r="J1029" t="s">
        <v>1776</v>
      </c>
      <c r="K1029">
        <v>8</v>
      </c>
      <c r="L1029" s="2">
        <v>1257</v>
      </c>
      <c r="M1029">
        <v>0</v>
      </c>
      <c r="N1029" s="2">
        <v>721.63</v>
      </c>
      <c r="O1029" s="2">
        <v>10056</v>
      </c>
      <c r="P1029" s="2">
        <v>5773.04</v>
      </c>
      <c r="Q1029" s="2">
        <v>4282.96</v>
      </c>
      <c r="R1029">
        <v>0</v>
      </c>
      <c r="S1029" s="2" t="str">
        <f>TEXT(data[[#This Row],[Date]],"mmm yyyy")</f>
        <v>Mar 2025</v>
      </c>
      <c r="T1029" s="8">
        <f>data[[#This Row],[Profit]]/data[[#This Row],[Revenue]]</f>
        <v>0.4259108989657916</v>
      </c>
    </row>
    <row r="1030" spans="1:20" x14ac:dyDescent="0.3">
      <c r="A1030">
        <v>11028</v>
      </c>
      <c r="B1030" t="s">
        <v>93</v>
      </c>
      <c r="C1030" t="s">
        <v>609</v>
      </c>
      <c r="D1030" t="s">
        <v>613</v>
      </c>
      <c r="E1030" t="s">
        <v>628</v>
      </c>
      <c r="F1030" t="s">
        <v>1606</v>
      </c>
      <c r="G1030" t="s">
        <v>1761</v>
      </c>
      <c r="H1030" t="s">
        <v>1771</v>
      </c>
      <c r="I1030" t="s">
        <v>1774</v>
      </c>
      <c r="J1030" t="s">
        <v>1776</v>
      </c>
      <c r="K1030">
        <v>3</v>
      </c>
      <c r="L1030" s="2">
        <v>614</v>
      </c>
      <c r="M1030">
        <v>0.1</v>
      </c>
      <c r="N1030" s="2">
        <v>331.92</v>
      </c>
      <c r="O1030" s="2">
        <v>1657.8</v>
      </c>
      <c r="P1030" s="2">
        <v>995.76</v>
      </c>
      <c r="Q1030" s="2">
        <v>662.04</v>
      </c>
      <c r="R1030">
        <v>0</v>
      </c>
      <c r="S1030" s="2" t="str">
        <f>TEXT(data[[#This Row],[Date]],"mmm yyyy")</f>
        <v>Sep 2024</v>
      </c>
      <c r="T1030" s="8">
        <f>data[[#This Row],[Profit]]/data[[#This Row],[Revenue]]</f>
        <v>0.39934853420195437</v>
      </c>
    </row>
    <row r="1031" spans="1:20" x14ac:dyDescent="0.3">
      <c r="A1031">
        <v>11029</v>
      </c>
      <c r="B1031" t="s">
        <v>411</v>
      </c>
      <c r="C1031" t="s">
        <v>606</v>
      </c>
      <c r="D1031" t="s">
        <v>616</v>
      </c>
      <c r="E1031" t="s">
        <v>626</v>
      </c>
      <c r="F1031" t="s">
        <v>1607</v>
      </c>
      <c r="G1031" t="s">
        <v>1763</v>
      </c>
      <c r="H1031" t="s">
        <v>1769</v>
      </c>
      <c r="I1031" t="s">
        <v>1773</v>
      </c>
      <c r="J1031" t="s">
        <v>1779</v>
      </c>
      <c r="K1031">
        <v>18</v>
      </c>
      <c r="L1031" s="2">
        <v>314</v>
      </c>
      <c r="M1031">
        <v>0.1</v>
      </c>
      <c r="N1031" s="2">
        <v>201.75</v>
      </c>
      <c r="O1031" s="2">
        <v>5086.8</v>
      </c>
      <c r="P1031" s="2">
        <v>3631.5</v>
      </c>
      <c r="Q1031" s="2">
        <v>1455.3</v>
      </c>
      <c r="R1031">
        <v>0</v>
      </c>
      <c r="S1031" s="2" t="str">
        <f>TEXT(data[[#This Row],[Date]],"mmm yyyy")</f>
        <v>Aug 2024</v>
      </c>
      <c r="T1031" s="8">
        <f>data[[#This Row],[Profit]]/data[[#This Row],[Revenue]]</f>
        <v>0.28609341825902335</v>
      </c>
    </row>
    <row r="1032" spans="1:20" x14ac:dyDescent="0.3">
      <c r="A1032">
        <v>11030</v>
      </c>
      <c r="B1032" t="s">
        <v>573</v>
      </c>
      <c r="C1032" t="s">
        <v>606</v>
      </c>
      <c r="D1032" t="s">
        <v>625</v>
      </c>
      <c r="E1032" t="s">
        <v>627</v>
      </c>
      <c r="F1032" t="s">
        <v>1608</v>
      </c>
      <c r="G1032" t="s">
        <v>1761</v>
      </c>
      <c r="H1032" t="s">
        <v>1771</v>
      </c>
      <c r="I1032" t="s">
        <v>1773</v>
      </c>
      <c r="J1032" t="s">
        <v>1776</v>
      </c>
      <c r="K1032">
        <v>10</v>
      </c>
      <c r="L1032" s="2">
        <v>672</v>
      </c>
      <c r="M1032">
        <v>0</v>
      </c>
      <c r="N1032" s="2">
        <v>498.7</v>
      </c>
      <c r="O1032" s="2">
        <v>6720</v>
      </c>
      <c r="P1032" s="2">
        <v>4987</v>
      </c>
      <c r="Q1032" s="2">
        <v>1733</v>
      </c>
      <c r="R1032">
        <v>0</v>
      </c>
      <c r="S1032" s="2" t="str">
        <f>TEXT(data[[#This Row],[Date]],"mmm yyyy")</f>
        <v>Jul 2024</v>
      </c>
      <c r="T1032" s="8">
        <f>data[[#This Row],[Profit]]/data[[#This Row],[Revenue]]</f>
        <v>0.25788690476190479</v>
      </c>
    </row>
    <row r="1033" spans="1:20" x14ac:dyDescent="0.3">
      <c r="A1033">
        <v>11031</v>
      </c>
      <c r="B1033" t="s">
        <v>54</v>
      </c>
      <c r="C1033" t="s">
        <v>609</v>
      </c>
      <c r="D1033" t="s">
        <v>613</v>
      </c>
      <c r="E1033" t="s">
        <v>626</v>
      </c>
      <c r="F1033" t="s">
        <v>1609</v>
      </c>
      <c r="G1033" t="s">
        <v>1760</v>
      </c>
      <c r="H1033" t="s">
        <v>1769</v>
      </c>
      <c r="I1033" t="s">
        <v>1773</v>
      </c>
      <c r="J1033" t="s">
        <v>1779</v>
      </c>
      <c r="K1033">
        <v>3</v>
      </c>
      <c r="L1033" s="2">
        <v>497</v>
      </c>
      <c r="M1033">
        <v>0</v>
      </c>
      <c r="N1033" s="2">
        <v>266.24</v>
      </c>
      <c r="O1033" s="2">
        <v>1491</v>
      </c>
      <c r="P1033" s="2">
        <v>798.72</v>
      </c>
      <c r="Q1033" s="2">
        <v>692.28</v>
      </c>
      <c r="R1033">
        <v>0</v>
      </c>
      <c r="S1033" s="2" t="str">
        <f>TEXT(data[[#This Row],[Date]],"mmm yyyy")</f>
        <v>Oct 2025</v>
      </c>
      <c r="T1033" s="8">
        <f>data[[#This Row],[Profit]]/data[[#This Row],[Revenue]]</f>
        <v>0.46430583501006034</v>
      </c>
    </row>
    <row r="1034" spans="1:20" x14ac:dyDescent="0.3">
      <c r="A1034">
        <v>11032</v>
      </c>
      <c r="B1034" t="s">
        <v>389</v>
      </c>
      <c r="C1034" t="s">
        <v>608</v>
      </c>
      <c r="D1034" t="s">
        <v>614</v>
      </c>
      <c r="E1034" t="s">
        <v>626</v>
      </c>
      <c r="F1034" t="s">
        <v>1610</v>
      </c>
      <c r="G1034" t="s">
        <v>1766</v>
      </c>
      <c r="H1034" t="s">
        <v>1768</v>
      </c>
      <c r="I1034" t="s">
        <v>1773</v>
      </c>
      <c r="J1034" t="s">
        <v>1776</v>
      </c>
      <c r="K1034">
        <v>2</v>
      </c>
      <c r="L1034" s="2">
        <v>1216</v>
      </c>
      <c r="M1034">
        <v>0.1</v>
      </c>
      <c r="N1034" s="2">
        <v>898.06</v>
      </c>
      <c r="O1034" s="2">
        <v>2188.8000000000002</v>
      </c>
      <c r="P1034" s="2">
        <v>1796.12</v>
      </c>
      <c r="Q1034" s="2">
        <v>392.68</v>
      </c>
      <c r="R1034">
        <v>0</v>
      </c>
      <c r="S1034" s="2" t="str">
        <f>TEXT(data[[#This Row],[Date]],"mmm yyyy")</f>
        <v>Sep 2025</v>
      </c>
      <c r="T1034" s="8">
        <f>data[[#This Row],[Profit]]/data[[#This Row],[Revenue]]</f>
        <v>0.17940423976608186</v>
      </c>
    </row>
    <row r="1035" spans="1:20" x14ac:dyDescent="0.3">
      <c r="A1035">
        <v>11033</v>
      </c>
      <c r="B1035" t="s">
        <v>323</v>
      </c>
      <c r="C1035" t="s">
        <v>608</v>
      </c>
      <c r="D1035" t="s">
        <v>618</v>
      </c>
      <c r="E1035" t="s">
        <v>626</v>
      </c>
      <c r="F1035" t="s">
        <v>1611</v>
      </c>
      <c r="G1035" t="s">
        <v>1763</v>
      </c>
      <c r="H1035" t="s">
        <v>1770</v>
      </c>
      <c r="I1035" t="s">
        <v>1775</v>
      </c>
      <c r="J1035" t="s">
        <v>1776</v>
      </c>
      <c r="K1035">
        <v>9</v>
      </c>
      <c r="L1035" s="2">
        <v>954</v>
      </c>
      <c r="M1035">
        <v>0.15</v>
      </c>
      <c r="N1035" s="2">
        <v>511.05</v>
      </c>
      <c r="O1035" s="2">
        <v>7298.1</v>
      </c>
      <c r="P1035" s="2">
        <v>4599.45</v>
      </c>
      <c r="Q1035" s="2">
        <v>2698.65</v>
      </c>
      <c r="R1035">
        <v>0</v>
      </c>
      <c r="S1035" s="2" t="str">
        <f>TEXT(data[[#This Row],[Date]],"mmm yyyy")</f>
        <v>Jul 2025</v>
      </c>
      <c r="T1035" s="8">
        <f>data[[#This Row],[Profit]]/data[[#This Row],[Revenue]]</f>
        <v>0.36977432482426931</v>
      </c>
    </row>
    <row r="1036" spans="1:20" x14ac:dyDescent="0.3">
      <c r="A1036">
        <v>11034</v>
      </c>
      <c r="B1036" t="s">
        <v>574</v>
      </c>
      <c r="C1036" t="s">
        <v>606</v>
      </c>
      <c r="D1036" t="s">
        <v>625</v>
      </c>
      <c r="E1036" t="s">
        <v>627</v>
      </c>
      <c r="F1036" t="s">
        <v>1612</v>
      </c>
      <c r="G1036" t="s">
        <v>1764</v>
      </c>
      <c r="H1036" t="s">
        <v>1770</v>
      </c>
      <c r="I1036" t="s">
        <v>1775</v>
      </c>
      <c r="J1036" t="s">
        <v>1779</v>
      </c>
      <c r="K1036">
        <v>1</v>
      </c>
      <c r="L1036" s="2">
        <v>645</v>
      </c>
      <c r="M1036">
        <v>0.15</v>
      </c>
      <c r="N1036" s="2">
        <v>416.2</v>
      </c>
      <c r="O1036" s="2">
        <v>548.25</v>
      </c>
      <c r="P1036" s="2">
        <v>416.2</v>
      </c>
      <c r="Q1036" s="2">
        <v>132.05000000000001</v>
      </c>
      <c r="R1036">
        <v>1</v>
      </c>
      <c r="S1036" s="2" t="str">
        <f>TEXT(data[[#This Row],[Date]],"mmm yyyy")</f>
        <v>Jan 2025</v>
      </c>
      <c r="T1036" s="8">
        <f>data[[#This Row],[Profit]]/data[[#This Row],[Revenue]]</f>
        <v>0.24085727314181488</v>
      </c>
    </row>
    <row r="1037" spans="1:20" x14ac:dyDescent="0.3">
      <c r="A1037">
        <v>11035</v>
      </c>
      <c r="B1037" t="s">
        <v>183</v>
      </c>
      <c r="C1037" t="s">
        <v>608</v>
      </c>
      <c r="D1037" t="s">
        <v>618</v>
      </c>
      <c r="E1037" t="s">
        <v>629</v>
      </c>
      <c r="F1037" t="s">
        <v>1613</v>
      </c>
      <c r="G1037" t="s">
        <v>1760</v>
      </c>
      <c r="H1037" t="s">
        <v>1770</v>
      </c>
      <c r="I1037" t="s">
        <v>1773</v>
      </c>
      <c r="J1037" t="s">
        <v>1777</v>
      </c>
      <c r="K1037">
        <v>2</v>
      </c>
      <c r="L1037" s="2">
        <v>415</v>
      </c>
      <c r="M1037">
        <v>0.05</v>
      </c>
      <c r="N1037" s="2">
        <v>225.42</v>
      </c>
      <c r="O1037" s="2">
        <v>788.5</v>
      </c>
      <c r="P1037" s="2">
        <v>450.84</v>
      </c>
      <c r="Q1037" s="2">
        <v>337.66</v>
      </c>
      <c r="R1037">
        <v>0</v>
      </c>
      <c r="S1037" s="2" t="str">
        <f>TEXT(data[[#This Row],[Date]],"mmm yyyy")</f>
        <v>Oct 2024</v>
      </c>
      <c r="T1037" s="8">
        <f>data[[#This Row],[Profit]]/data[[#This Row],[Revenue]]</f>
        <v>0.42823081800887763</v>
      </c>
    </row>
    <row r="1038" spans="1:20" x14ac:dyDescent="0.3">
      <c r="A1038">
        <v>11036</v>
      </c>
      <c r="B1038" t="s">
        <v>306</v>
      </c>
      <c r="C1038" t="s">
        <v>608</v>
      </c>
      <c r="D1038" t="s">
        <v>615</v>
      </c>
      <c r="E1038" t="s">
        <v>627</v>
      </c>
      <c r="F1038" t="s">
        <v>695</v>
      </c>
      <c r="G1038" t="s">
        <v>1763</v>
      </c>
      <c r="H1038" t="s">
        <v>1769</v>
      </c>
      <c r="I1038" t="s">
        <v>1773</v>
      </c>
      <c r="J1038" t="s">
        <v>1776</v>
      </c>
      <c r="K1038">
        <v>7</v>
      </c>
      <c r="L1038" s="2">
        <v>456</v>
      </c>
      <c r="M1038">
        <v>0.2</v>
      </c>
      <c r="N1038" s="2">
        <v>295.38</v>
      </c>
      <c r="O1038" s="2">
        <v>2553.6</v>
      </c>
      <c r="P1038" s="2">
        <v>2067.66</v>
      </c>
      <c r="Q1038" s="2">
        <v>485.94</v>
      </c>
      <c r="R1038">
        <v>0</v>
      </c>
      <c r="S1038" s="2" t="str">
        <f>TEXT(data[[#This Row],[Date]],"mmm yyyy")</f>
        <v>Sep 2024</v>
      </c>
      <c r="T1038" s="8">
        <f>data[[#This Row],[Profit]]/data[[#This Row],[Revenue]]</f>
        <v>0.19029605263157895</v>
      </c>
    </row>
    <row r="1039" spans="1:20" x14ac:dyDescent="0.3">
      <c r="A1039">
        <v>11037</v>
      </c>
      <c r="B1039" t="s">
        <v>575</v>
      </c>
      <c r="C1039" t="s">
        <v>607</v>
      </c>
      <c r="D1039" t="s">
        <v>611</v>
      </c>
      <c r="E1039" t="s">
        <v>628</v>
      </c>
      <c r="F1039" t="s">
        <v>781</v>
      </c>
      <c r="G1039" t="s">
        <v>1760</v>
      </c>
      <c r="H1039" t="s">
        <v>1769</v>
      </c>
      <c r="I1039" t="s">
        <v>1773</v>
      </c>
      <c r="J1039" t="s">
        <v>1779</v>
      </c>
      <c r="K1039">
        <v>7</v>
      </c>
      <c r="L1039" s="2">
        <v>246</v>
      </c>
      <c r="M1039">
        <v>0</v>
      </c>
      <c r="N1039" s="2">
        <v>158.97999999999999</v>
      </c>
      <c r="O1039" s="2">
        <v>1722</v>
      </c>
      <c r="P1039" s="2">
        <v>1112.8599999999999</v>
      </c>
      <c r="Q1039" s="2">
        <v>609.14</v>
      </c>
      <c r="R1039">
        <v>1</v>
      </c>
      <c r="S1039" s="2" t="str">
        <f>TEXT(data[[#This Row],[Date]],"mmm yyyy")</f>
        <v>May 2025</v>
      </c>
      <c r="T1039" s="8">
        <f>data[[#This Row],[Profit]]/data[[#This Row],[Revenue]]</f>
        <v>0.353739837398374</v>
      </c>
    </row>
    <row r="1040" spans="1:20" x14ac:dyDescent="0.3">
      <c r="A1040">
        <v>11038</v>
      </c>
      <c r="B1040" t="s">
        <v>172</v>
      </c>
      <c r="C1040" t="s">
        <v>609</v>
      </c>
      <c r="D1040" t="s">
        <v>613</v>
      </c>
      <c r="E1040" t="s">
        <v>629</v>
      </c>
      <c r="F1040" t="s">
        <v>1614</v>
      </c>
      <c r="G1040" t="s">
        <v>1766</v>
      </c>
      <c r="H1040" t="s">
        <v>1771</v>
      </c>
      <c r="I1040" t="s">
        <v>1774</v>
      </c>
      <c r="J1040" t="s">
        <v>1778</v>
      </c>
      <c r="K1040">
        <v>7</v>
      </c>
      <c r="L1040" s="2">
        <v>554</v>
      </c>
      <c r="M1040">
        <v>0.15</v>
      </c>
      <c r="N1040" s="2">
        <v>338.21</v>
      </c>
      <c r="O1040" s="2">
        <v>3296.3</v>
      </c>
      <c r="P1040" s="2">
        <v>2367.4699999999998</v>
      </c>
      <c r="Q1040" s="2">
        <v>928.83</v>
      </c>
      <c r="R1040">
        <v>0</v>
      </c>
      <c r="S1040" s="2" t="str">
        <f>TEXT(data[[#This Row],[Date]],"mmm yyyy")</f>
        <v>Nov 2024</v>
      </c>
      <c r="T1040" s="8">
        <f>data[[#This Row],[Profit]]/data[[#This Row],[Revenue]]</f>
        <v>0.28177957103418982</v>
      </c>
    </row>
    <row r="1041" spans="1:20" x14ac:dyDescent="0.3">
      <c r="A1041">
        <v>11039</v>
      </c>
      <c r="B1041" t="s">
        <v>576</v>
      </c>
      <c r="C1041" t="s">
        <v>609</v>
      </c>
      <c r="D1041" t="s">
        <v>619</v>
      </c>
      <c r="E1041" t="s">
        <v>627</v>
      </c>
      <c r="F1041" t="s">
        <v>1615</v>
      </c>
      <c r="G1041" t="s">
        <v>1760</v>
      </c>
      <c r="H1041" t="s">
        <v>1769</v>
      </c>
      <c r="I1041" t="s">
        <v>1775</v>
      </c>
      <c r="J1041" t="s">
        <v>1777</v>
      </c>
      <c r="K1041">
        <v>14</v>
      </c>
      <c r="L1041" s="2">
        <v>255</v>
      </c>
      <c r="M1041">
        <v>0</v>
      </c>
      <c r="N1041" s="2">
        <v>156.16999999999999</v>
      </c>
      <c r="O1041" s="2">
        <v>3570</v>
      </c>
      <c r="P1041" s="2">
        <v>2186.38</v>
      </c>
      <c r="Q1041" s="2">
        <v>1383.62</v>
      </c>
      <c r="R1041">
        <v>0</v>
      </c>
      <c r="S1041" s="2" t="str">
        <f>TEXT(data[[#This Row],[Date]],"mmm yyyy")</f>
        <v>Aug 2025</v>
      </c>
      <c r="T1041" s="8">
        <f>data[[#This Row],[Profit]]/data[[#This Row],[Revenue]]</f>
        <v>0.38756862745098036</v>
      </c>
    </row>
    <row r="1042" spans="1:20" x14ac:dyDescent="0.3">
      <c r="A1042">
        <v>11040</v>
      </c>
      <c r="B1042" t="s">
        <v>366</v>
      </c>
      <c r="C1042" t="s">
        <v>608</v>
      </c>
      <c r="D1042" t="s">
        <v>615</v>
      </c>
      <c r="E1042" t="s">
        <v>629</v>
      </c>
      <c r="F1042" t="s">
        <v>1616</v>
      </c>
      <c r="G1042" t="s">
        <v>1763</v>
      </c>
      <c r="H1042" t="s">
        <v>1772</v>
      </c>
      <c r="I1042" t="s">
        <v>1775</v>
      </c>
      <c r="J1042" t="s">
        <v>1779</v>
      </c>
      <c r="K1042">
        <v>14</v>
      </c>
      <c r="L1042" s="2">
        <v>1168</v>
      </c>
      <c r="M1042">
        <v>0</v>
      </c>
      <c r="N1042" s="2">
        <v>756.21</v>
      </c>
      <c r="O1042" s="2">
        <v>16352</v>
      </c>
      <c r="P1042" s="2">
        <v>10586.94</v>
      </c>
      <c r="Q1042" s="2">
        <v>5765.06</v>
      </c>
      <c r="R1042">
        <v>0</v>
      </c>
      <c r="S1042" s="2" t="str">
        <f>TEXT(data[[#This Row],[Date]],"mmm yyyy")</f>
        <v>Feb 2025</v>
      </c>
      <c r="T1042" s="8">
        <f>data[[#This Row],[Profit]]/data[[#This Row],[Revenue]]</f>
        <v>0.35255993150684933</v>
      </c>
    </row>
    <row r="1043" spans="1:20" x14ac:dyDescent="0.3">
      <c r="A1043">
        <v>11041</v>
      </c>
      <c r="B1043" t="s">
        <v>577</v>
      </c>
      <c r="C1043" t="s">
        <v>608</v>
      </c>
      <c r="D1043" t="s">
        <v>615</v>
      </c>
      <c r="E1043" t="s">
        <v>629</v>
      </c>
      <c r="F1043" t="s">
        <v>1617</v>
      </c>
      <c r="G1043" t="s">
        <v>1763</v>
      </c>
      <c r="H1043" t="s">
        <v>1767</v>
      </c>
      <c r="I1043" t="s">
        <v>1775</v>
      </c>
      <c r="J1043" t="s">
        <v>1778</v>
      </c>
      <c r="K1043">
        <v>9</v>
      </c>
      <c r="L1043" s="2">
        <v>186</v>
      </c>
      <c r="M1043">
        <v>0.05</v>
      </c>
      <c r="N1043" s="2">
        <v>103.51</v>
      </c>
      <c r="O1043" s="2">
        <v>1590.3</v>
      </c>
      <c r="P1043" s="2">
        <v>931.59</v>
      </c>
      <c r="Q1043" s="2">
        <v>658.71</v>
      </c>
      <c r="R1043">
        <v>0</v>
      </c>
      <c r="S1043" s="2" t="str">
        <f>TEXT(data[[#This Row],[Date]],"mmm yyyy")</f>
        <v>Nov 2024</v>
      </c>
      <c r="T1043" s="8">
        <f>data[[#This Row],[Profit]]/data[[#This Row],[Revenue]]</f>
        <v>0.41420486700622527</v>
      </c>
    </row>
    <row r="1044" spans="1:20" x14ac:dyDescent="0.3">
      <c r="A1044">
        <v>11042</v>
      </c>
      <c r="B1044" t="s">
        <v>391</v>
      </c>
      <c r="C1044" t="s">
        <v>608</v>
      </c>
      <c r="D1044" t="s">
        <v>618</v>
      </c>
      <c r="E1044" t="s">
        <v>629</v>
      </c>
      <c r="F1044" t="s">
        <v>1618</v>
      </c>
      <c r="G1044" t="s">
        <v>1763</v>
      </c>
      <c r="H1044" t="s">
        <v>1767</v>
      </c>
      <c r="I1044" t="s">
        <v>1773</v>
      </c>
      <c r="J1044" t="s">
        <v>1778</v>
      </c>
      <c r="K1044">
        <v>2</v>
      </c>
      <c r="L1044" s="2">
        <v>140</v>
      </c>
      <c r="M1044">
        <v>0.15</v>
      </c>
      <c r="N1044" s="2">
        <v>100.03</v>
      </c>
      <c r="O1044" s="2">
        <v>238</v>
      </c>
      <c r="P1044" s="2">
        <v>200.06</v>
      </c>
      <c r="Q1044" s="2">
        <v>37.94</v>
      </c>
      <c r="R1044">
        <v>1</v>
      </c>
      <c r="S1044" s="2" t="str">
        <f>TEXT(data[[#This Row],[Date]],"mmm yyyy")</f>
        <v>May 2025</v>
      </c>
      <c r="T1044" s="8">
        <f>data[[#This Row],[Profit]]/data[[#This Row],[Revenue]]</f>
        <v>0.15941176470588234</v>
      </c>
    </row>
    <row r="1045" spans="1:20" x14ac:dyDescent="0.3">
      <c r="A1045">
        <v>11043</v>
      </c>
      <c r="B1045" t="s">
        <v>369</v>
      </c>
      <c r="C1045" t="s">
        <v>609</v>
      </c>
      <c r="D1045" t="s">
        <v>613</v>
      </c>
      <c r="E1045" t="s">
        <v>626</v>
      </c>
      <c r="F1045" t="s">
        <v>1619</v>
      </c>
      <c r="G1045" t="s">
        <v>1760</v>
      </c>
      <c r="H1045" t="s">
        <v>1769</v>
      </c>
      <c r="I1045" t="s">
        <v>1775</v>
      </c>
      <c r="J1045" t="s">
        <v>1779</v>
      </c>
      <c r="K1045">
        <v>17</v>
      </c>
      <c r="L1045" s="2">
        <v>369</v>
      </c>
      <c r="M1045">
        <v>0.1</v>
      </c>
      <c r="N1045" s="2">
        <v>251.79</v>
      </c>
      <c r="O1045" s="2">
        <v>5645.7</v>
      </c>
      <c r="P1045" s="2">
        <v>4280.43</v>
      </c>
      <c r="Q1045" s="2">
        <v>1365.27</v>
      </c>
      <c r="R1045">
        <v>0</v>
      </c>
      <c r="S1045" s="2" t="str">
        <f>TEXT(data[[#This Row],[Date]],"mmm yyyy")</f>
        <v>Nov 2025</v>
      </c>
      <c r="T1045" s="8">
        <f>data[[#This Row],[Profit]]/data[[#This Row],[Revenue]]</f>
        <v>0.24182475158084915</v>
      </c>
    </row>
    <row r="1046" spans="1:20" x14ac:dyDescent="0.3">
      <c r="A1046">
        <v>11044</v>
      </c>
      <c r="B1046" t="s">
        <v>346</v>
      </c>
      <c r="C1046" t="s">
        <v>607</v>
      </c>
      <c r="D1046" t="s">
        <v>617</v>
      </c>
      <c r="E1046" t="s">
        <v>627</v>
      </c>
      <c r="F1046" t="s">
        <v>1620</v>
      </c>
      <c r="G1046" t="s">
        <v>1760</v>
      </c>
      <c r="H1046" t="s">
        <v>1770</v>
      </c>
      <c r="I1046" t="s">
        <v>1775</v>
      </c>
      <c r="J1046" t="s">
        <v>1777</v>
      </c>
      <c r="K1046">
        <v>7</v>
      </c>
      <c r="L1046" s="2">
        <v>948</v>
      </c>
      <c r="M1046">
        <v>0.2</v>
      </c>
      <c r="N1046" s="2">
        <v>527.38</v>
      </c>
      <c r="O1046" s="2">
        <v>5308.8</v>
      </c>
      <c r="P1046" s="2">
        <v>3691.66</v>
      </c>
      <c r="Q1046" s="2">
        <v>1617.14</v>
      </c>
      <c r="R1046">
        <v>1</v>
      </c>
      <c r="S1046" s="2" t="str">
        <f>TEXT(data[[#This Row],[Date]],"mmm yyyy")</f>
        <v>Apr 2024</v>
      </c>
      <c r="T1046" s="8">
        <f>data[[#This Row],[Profit]]/data[[#This Row],[Revenue]]</f>
        <v>0.30461497890295358</v>
      </c>
    </row>
    <row r="1047" spans="1:20" x14ac:dyDescent="0.3">
      <c r="A1047">
        <v>11045</v>
      </c>
      <c r="B1047" t="s">
        <v>250</v>
      </c>
      <c r="C1047" t="s">
        <v>607</v>
      </c>
      <c r="D1047" t="s">
        <v>617</v>
      </c>
      <c r="E1047" t="s">
        <v>629</v>
      </c>
      <c r="F1047" t="s">
        <v>1621</v>
      </c>
      <c r="G1047" t="s">
        <v>1759</v>
      </c>
      <c r="H1047" t="s">
        <v>1770</v>
      </c>
      <c r="I1047" t="s">
        <v>1774</v>
      </c>
      <c r="J1047" t="s">
        <v>1778</v>
      </c>
      <c r="K1047">
        <v>5</v>
      </c>
      <c r="L1047" s="2">
        <v>881</v>
      </c>
      <c r="M1047">
        <v>0.05</v>
      </c>
      <c r="N1047" s="2">
        <v>522.75</v>
      </c>
      <c r="O1047" s="2">
        <v>4184.75</v>
      </c>
      <c r="P1047" s="2">
        <v>2613.75</v>
      </c>
      <c r="Q1047" s="2">
        <v>1571</v>
      </c>
      <c r="R1047">
        <v>0</v>
      </c>
      <c r="S1047" s="2" t="str">
        <f>TEXT(data[[#This Row],[Date]],"mmm yyyy")</f>
        <v>Apr 2024</v>
      </c>
      <c r="T1047" s="8">
        <f>data[[#This Row],[Profit]]/data[[#This Row],[Revenue]]</f>
        <v>0.37541071748611027</v>
      </c>
    </row>
    <row r="1048" spans="1:20" x14ac:dyDescent="0.3">
      <c r="A1048">
        <v>11046</v>
      </c>
      <c r="B1048" t="s">
        <v>439</v>
      </c>
      <c r="C1048" t="s">
        <v>608</v>
      </c>
      <c r="D1048" t="s">
        <v>612</v>
      </c>
      <c r="E1048" t="s">
        <v>626</v>
      </c>
      <c r="F1048" t="s">
        <v>1622</v>
      </c>
      <c r="G1048" t="s">
        <v>1759</v>
      </c>
      <c r="H1048" t="s">
        <v>1767</v>
      </c>
      <c r="I1048" t="s">
        <v>1775</v>
      </c>
      <c r="J1048" t="s">
        <v>1776</v>
      </c>
      <c r="K1048">
        <v>8</v>
      </c>
      <c r="L1048" s="2">
        <v>158</v>
      </c>
      <c r="M1048">
        <v>0</v>
      </c>
      <c r="N1048" s="2">
        <v>105.95</v>
      </c>
      <c r="O1048" s="2">
        <v>1264</v>
      </c>
      <c r="P1048" s="2">
        <v>847.6</v>
      </c>
      <c r="Q1048" s="2">
        <v>416.4</v>
      </c>
      <c r="R1048">
        <v>0</v>
      </c>
      <c r="S1048" s="2" t="str">
        <f>TEXT(data[[#This Row],[Date]],"mmm yyyy")</f>
        <v>Oct 2024</v>
      </c>
      <c r="T1048" s="8">
        <f>data[[#This Row],[Profit]]/data[[#This Row],[Revenue]]</f>
        <v>0.32943037974683542</v>
      </c>
    </row>
    <row r="1049" spans="1:20" x14ac:dyDescent="0.3">
      <c r="A1049">
        <v>11047</v>
      </c>
      <c r="B1049" t="s">
        <v>533</v>
      </c>
      <c r="C1049" t="s">
        <v>606</v>
      </c>
      <c r="D1049" t="s">
        <v>616</v>
      </c>
      <c r="E1049" t="s">
        <v>628</v>
      </c>
      <c r="F1049" t="s">
        <v>1623</v>
      </c>
      <c r="G1049" t="s">
        <v>1764</v>
      </c>
      <c r="H1049" t="s">
        <v>1769</v>
      </c>
      <c r="I1049" t="s">
        <v>1775</v>
      </c>
      <c r="J1049" t="s">
        <v>1776</v>
      </c>
      <c r="K1049">
        <v>20</v>
      </c>
      <c r="L1049" s="2">
        <v>428</v>
      </c>
      <c r="M1049">
        <v>0</v>
      </c>
      <c r="N1049" s="2">
        <v>262.76</v>
      </c>
      <c r="O1049" s="2">
        <v>8560</v>
      </c>
      <c r="P1049" s="2">
        <v>5255.2</v>
      </c>
      <c r="Q1049" s="2">
        <v>3304.8</v>
      </c>
      <c r="R1049">
        <v>0</v>
      </c>
      <c r="S1049" s="2" t="str">
        <f>TEXT(data[[#This Row],[Date]],"mmm yyyy")</f>
        <v>Dec 2025</v>
      </c>
      <c r="T1049" s="8">
        <f>data[[#This Row],[Profit]]/data[[#This Row],[Revenue]]</f>
        <v>0.38607476635514021</v>
      </c>
    </row>
    <row r="1050" spans="1:20" x14ac:dyDescent="0.3">
      <c r="A1050">
        <v>11048</v>
      </c>
      <c r="B1050" t="s">
        <v>241</v>
      </c>
      <c r="C1050" t="s">
        <v>608</v>
      </c>
      <c r="D1050" t="s">
        <v>615</v>
      </c>
      <c r="E1050" t="s">
        <v>627</v>
      </c>
      <c r="F1050" t="s">
        <v>1624</v>
      </c>
      <c r="G1050" t="s">
        <v>1764</v>
      </c>
      <c r="H1050" t="s">
        <v>1768</v>
      </c>
      <c r="I1050" t="s">
        <v>1774</v>
      </c>
      <c r="J1050" t="s">
        <v>1777</v>
      </c>
      <c r="K1050">
        <v>16</v>
      </c>
      <c r="L1050" s="2">
        <v>846</v>
      </c>
      <c r="M1050">
        <v>0.1</v>
      </c>
      <c r="N1050" s="2">
        <v>458.36</v>
      </c>
      <c r="O1050" s="2">
        <v>12182.4</v>
      </c>
      <c r="P1050" s="2">
        <v>7333.76</v>
      </c>
      <c r="Q1050" s="2">
        <v>4848.6400000000003</v>
      </c>
      <c r="R1050">
        <v>0</v>
      </c>
      <c r="S1050" s="2" t="str">
        <f>TEXT(data[[#This Row],[Date]],"mmm yyyy")</f>
        <v>Jul 2024</v>
      </c>
      <c r="T1050" s="8">
        <f>data[[#This Row],[Profit]]/data[[#This Row],[Revenue]]</f>
        <v>0.39800367743630161</v>
      </c>
    </row>
    <row r="1051" spans="1:20" x14ac:dyDescent="0.3">
      <c r="A1051">
        <v>11049</v>
      </c>
      <c r="B1051" t="s">
        <v>578</v>
      </c>
      <c r="C1051" t="s">
        <v>609</v>
      </c>
      <c r="D1051" t="s">
        <v>619</v>
      </c>
      <c r="E1051" t="s">
        <v>628</v>
      </c>
      <c r="F1051" t="s">
        <v>1625</v>
      </c>
      <c r="G1051" t="s">
        <v>1765</v>
      </c>
      <c r="H1051" t="s">
        <v>1771</v>
      </c>
      <c r="I1051" t="s">
        <v>1773</v>
      </c>
      <c r="J1051" t="s">
        <v>1777</v>
      </c>
      <c r="K1051">
        <v>18</v>
      </c>
      <c r="L1051" s="2">
        <v>317</v>
      </c>
      <c r="M1051">
        <v>0</v>
      </c>
      <c r="N1051" s="2">
        <v>180.07</v>
      </c>
      <c r="O1051" s="2">
        <v>5706</v>
      </c>
      <c r="P1051" s="2">
        <v>3241.26</v>
      </c>
      <c r="Q1051" s="2">
        <v>2464.7399999999998</v>
      </c>
      <c r="R1051">
        <v>0</v>
      </c>
      <c r="S1051" s="2" t="str">
        <f>TEXT(data[[#This Row],[Date]],"mmm yyyy")</f>
        <v>Apr 2024</v>
      </c>
      <c r="T1051" s="8">
        <f>data[[#This Row],[Profit]]/data[[#This Row],[Revenue]]</f>
        <v>0.4319558359621451</v>
      </c>
    </row>
    <row r="1052" spans="1:20" x14ac:dyDescent="0.3">
      <c r="A1052">
        <v>11050</v>
      </c>
      <c r="B1052" t="s">
        <v>551</v>
      </c>
      <c r="C1052" t="s">
        <v>609</v>
      </c>
      <c r="D1052" t="s">
        <v>622</v>
      </c>
      <c r="E1052" t="s">
        <v>627</v>
      </c>
      <c r="F1052" t="s">
        <v>1626</v>
      </c>
      <c r="G1052" t="s">
        <v>1761</v>
      </c>
      <c r="H1052" t="s">
        <v>1772</v>
      </c>
      <c r="I1052" t="s">
        <v>1773</v>
      </c>
      <c r="J1052" t="s">
        <v>1777</v>
      </c>
      <c r="K1052">
        <v>8</v>
      </c>
      <c r="L1052" s="2">
        <v>527</v>
      </c>
      <c r="M1052">
        <v>0.1</v>
      </c>
      <c r="N1052" s="2">
        <v>382.08</v>
      </c>
      <c r="O1052" s="2">
        <v>3794.4</v>
      </c>
      <c r="P1052" s="2">
        <v>3056.64</v>
      </c>
      <c r="Q1052" s="2">
        <v>737.76</v>
      </c>
      <c r="R1052">
        <v>0</v>
      </c>
      <c r="S1052" s="2" t="str">
        <f>TEXT(data[[#This Row],[Date]],"mmm yyyy")</f>
        <v>May 2025</v>
      </c>
      <c r="T1052" s="8">
        <f>data[[#This Row],[Profit]]/data[[#This Row],[Revenue]]</f>
        <v>0.19443390259329538</v>
      </c>
    </row>
    <row r="1053" spans="1:20" x14ac:dyDescent="0.3">
      <c r="A1053">
        <v>11051</v>
      </c>
      <c r="B1053" t="s">
        <v>472</v>
      </c>
      <c r="C1053" t="s">
        <v>606</v>
      </c>
      <c r="D1053" t="s">
        <v>616</v>
      </c>
      <c r="E1053" t="s">
        <v>628</v>
      </c>
      <c r="F1053" t="s">
        <v>1627</v>
      </c>
      <c r="G1053" t="s">
        <v>1760</v>
      </c>
      <c r="H1053" t="s">
        <v>1771</v>
      </c>
      <c r="I1053" t="s">
        <v>1775</v>
      </c>
      <c r="J1053" t="s">
        <v>1777</v>
      </c>
      <c r="K1053">
        <v>2</v>
      </c>
      <c r="L1053" s="2">
        <v>453</v>
      </c>
      <c r="M1053">
        <v>0.1</v>
      </c>
      <c r="N1053" s="2">
        <v>298.39</v>
      </c>
      <c r="O1053" s="2">
        <v>815.4</v>
      </c>
      <c r="P1053" s="2">
        <v>596.78</v>
      </c>
      <c r="Q1053" s="2">
        <v>218.62</v>
      </c>
      <c r="R1053">
        <v>0</v>
      </c>
      <c r="S1053" s="2" t="str">
        <f>TEXT(data[[#This Row],[Date]],"mmm yyyy")</f>
        <v>Mar 2024</v>
      </c>
      <c r="T1053" s="8">
        <f>data[[#This Row],[Profit]]/data[[#This Row],[Revenue]]</f>
        <v>0.26811380917341182</v>
      </c>
    </row>
    <row r="1054" spans="1:20" x14ac:dyDescent="0.3">
      <c r="A1054">
        <v>11052</v>
      </c>
      <c r="B1054" t="s">
        <v>579</v>
      </c>
      <c r="C1054" t="s">
        <v>607</v>
      </c>
      <c r="D1054" t="s">
        <v>611</v>
      </c>
      <c r="E1054" t="s">
        <v>629</v>
      </c>
      <c r="F1054" t="s">
        <v>1628</v>
      </c>
      <c r="G1054" t="s">
        <v>1763</v>
      </c>
      <c r="H1054" t="s">
        <v>1770</v>
      </c>
      <c r="I1054" t="s">
        <v>1774</v>
      </c>
      <c r="J1054" t="s">
        <v>1776</v>
      </c>
      <c r="K1054">
        <v>19</v>
      </c>
      <c r="L1054" s="2">
        <v>426</v>
      </c>
      <c r="M1054">
        <v>0.2</v>
      </c>
      <c r="N1054" s="2">
        <v>293.31</v>
      </c>
      <c r="O1054" s="2">
        <v>6475.2</v>
      </c>
      <c r="P1054" s="2">
        <v>5572.89</v>
      </c>
      <c r="Q1054" s="2">
        <v>902.31</v>
      </c>
      <c r="R1054">
        <v>0</v>
      </c>
      <c r="S1054" s="2" t="str">
        <f>TEXT(data[[#This Row],[Date]],"mmm yyyy")</f>
        <v>Oct 2025</v>
      </c>
      <c r="T1054" s="8">
        <f>data[[#This Row],[Profit]]/data[[#This Row],[Revenue]]</f>
        <v>0.13934859154929577</v>
      </c>
    </row>
    <row r="1055" spans="1:20" x14ac:dyDescent="0.3">
      <c r="A1055">
        <v>11053</v>
      </c>
      <c r="B1055" t="s">
        <v>191</v>
      </c>
      <c r="C1055" t="s">
        <v>608</v>
      </c>
      <c r="D1055" t="s">
        <v>614</v>
      </c>
      <c r="E1055" t="s">
        <v>629</v>
      </c>
      <c r="F1055" t="s">
        <v>1629</v>
      </c>
      <c r="G1055" t="s">
        <v>1766</v>
      </c>
      <c r="H1055" t="s">
        <v>1772</v>
      </c>
      <c r="I1055" t="s">
        <v>1774</v>
      </c>
      <c r="J1055" t="s">
        <v>1777</v>
      </c>
      <c r="K1055">
        <v>19</v>
      </c>
      <c r="L1055" s="2">
        <v>558</v>
      </c>
      <c r="M1055">
        <v>0.05</v>
      </c>
      <c r="N1055" s="2">
        <v>384.17</v>
      </c>
      <c r="O1055" s="2">
        <v>10071.9</v>
      </c>
      <c r="P1055" s="2">
        <v>7299.23</v>
      </c>
      <c r="Q1055" s="2">
        <v>2772.67</v>
      </c>
      <c r="R1055">
        <v>1</v>
      </c>
      <c r="S1055" s="2" t="str">
        <f>TEXT(data[[#This Row],[Date]],"mmm yyyy")</f>
        <v>Oct 2024</v>
      </c>
      <c r="T1055" s="8">
        <f>data[[#This Row],[Profit]]/data[[#This Row],[Revenue]]</f>
        <v>0.27528768156951522</v>
      </c>
    </row>
    <row r="1056" spans="1:20" x14ac:dyDescent="0.3">
      <c r="A1056">
        <v>11054</v>
      </c>
      <c r="B1056" t="s">
        <v>553</v>
      </c>
      <c r="C1056" t="s">
        <v>607</v>
      </c>
      <c r="D1056" t="s">
        <v>611</v>
      </c>
      <c r="E1056" t="s">
        <v>629</v>
      </c>
      <c r="F1056" t="s">
        <v>1630</v>
      </c>
      <c r="G1056" t="s">
        <v>1762</v>
      </c>
      <c r="H1056" t="s">
        <v>1769</v>
      </c>
      <c r="I1056" t="s">
        <v>1773</v>
      </c>
      <c r="J1056" t="s">
        <v>1776</v>
      </c>
      <c r="K1056">
        <v>4</v>
      </c>
      <c r="L1056" s="2">
        <v>427</v>
      </c>
      <c r="M1056">
        <v>0.05</v>
      </c>
      <c r="N1056" s="2">
        <v>312.79000000000002</v>
      </c>
      <c r="O1056" s="2">
        <v>1622.6</v>
      </c>
      <c r="P1056" s="2">
        <v>1251.1600000000001</v>
      </c>
      <c r="Q1056" s="2">
        <v>371.44</v>
      </c>
      <c r="R1056">
        <v>0</v>
      </c>
      <c r="S1056" s="2" t="str">
        <f>TEXT(data[[#This Row],[Date]],"mmm yyyy")</f>
        <v>Mar 2025</v>
      </c>
      <c r="T1056" s="8">
        <f>data[[#This Row],[Profit]]/data[[#This Row],[Revenue]]</f>
        <v>0.22891655367928018</v>
      </c>
    </row>
    <row r="1057" spans="1:20" x14ac:dyDescent="0.3">
      <c r="A1057">
        <v>11055</v>
      </c>
      <c r="B1057" t="s">
        <v>59</v>
      </c>
      <c r="C1057" t="s">
        <v>607</v>
      </c>
      <c r="D1057" t="s">
        <v>617</v>
      </c>
      <c r="E1057" t="s">
        <v>628</v>
      </c>
      <c r="F1057" t="s">
        <v>1631</v>
      </c>
      <c r="G1057" t="s">
        <v>1759</v>
      </c>
      <c r="H1057" t="s">
        <v>1767</v>
      </c>
      <c r="I1057" t="s">
        <v>1774</v>
      </c>
      <c r="J1057" t="s">
        <v>1779</v>
      </c>
      <c r="K1057">
        <v>14</v>
      </c>
      <c r="L1057" s="2">
        <v>289</v>
      </c>
      <c r="M1057">
        <v>0.2</v>
      </c>
      <c r="N1057" s="2">
        <v>176.37</v>
      </c>
      <c r="O1057" s="2">
        <v>3236.8</v>
      </c>
      <c r="P1057" s="2">
        <v>2469.1799999999998</v>
      </c>
      <c r="Q1057" s="2">
        <v>767.62</v>
      </c>
      <c r="R1057">
        <v>1</v>
      </c>
      <c r="S1057" s="2" t="str">
        <f>TEXT(data[[#This Row],[Date]],"mmm yyyy")</f>
        <v>Nov 2025</v>
      </c>
      <c r="T1057" s="8">
        <f>data[[#This Row],[Profit]]/data[[#This Row],[Revenue]]</f>
        <v>0.23715397923875431</v>
      </c>
    </row>
    <row r="1058" spans="1:20" x14ac:dyDescent="0.3">
      <c r="A1058">
        <v>11056</v>
      </c>
      <c r="B1058" t="s">
        <v>516</v>
      </c>
      <c r="C1058" t="s">
        <v>609</v>
      </c>
      <c r="D1058" t="s">
        <v>613</v>
      </c>
      <c r="E1058" t="s">
        <v>626</v>
      </c>
      <c r="F1058" t="s">
        <v>1632</v>
      </c>
      <c r="G1058" t="s">
        <v>1759</v>
      </c>
      <c r="H1058" t="s">
        <v>1771</v>
      </c>
      <c r="I1058" t="s">
        <v>1774</v>
      </c>
      <c r="J1058" t="s">
        <v>1777</v>
      </c>
      <c r="K1058">
        <v>3</v>
      </c>
      <c r="L1058" s="2">
        <v>520</v>
      </c>
      <c r="M1058">
        <v>0.2</v>
      </c>
      <c r="N1058" s="2">
        <v>353.55</v>
      </c>
      <c r="O1058" s="2">
        <v>1248</v>
      </c>
      <c r="P1058" s="2">
        <v>1060.6500000000001</v>
      </c>
      <c r="Q1058" s="2">
        <v>187.35</v>
      </c>
      <c r="R1058">
        <v>0</v>
      </c>
      <c r="S1058" s="2" t="str">
        <f>TEXT(data[[#This Row],[Date]],"mmm yyyy")</f>
        <v>Oct 2024</v>
      </c>
      <c r="T1058" s="8">
        <f>data[[#This Row],[Profit]]/data[[#This Row],[Revenue]]</f>
        <v>0.1501201923076923</v>
      </c>
    </row>
    <row r="1059" spans="1:20" x14ac:dyDescent="0.3">
      <c r="A1059">
        <v>11057</v>
      </c>
      <c r="B1059" t="s">
        <v>95</v>
      </c>
      <c r="C1059" t="s">
        <v>608</v>
      </c>
      <c r="D1059" t="s">
        <v>618</v>
      </c>
      <c r="E1059" t="s">
        <v>628</v>
      </c>
      <c r="F1059" t="s">
        <v>1633</v>
      </c>
      <c r="G1059" t="s">
        <v>1766</v>
      </c>
      <c r="H1059" t="s">
        <v>1772</v>
      </c>
      <c r="I1059" t="s">
        <v>1775</v>
      </c>
      <c r="J1059" t="s">
        <v>1778</v>
      </c>
      <c r="K1059">
        <v>8</v>
      </c>
      <c r="L1059" s="2">
        <v>1085</v>
      </c>
      <c r="M1059">
        <v>0.05</v>
      </c>
      <c r="N1059" s="2">
        <v>585.79999999999995</v>
      </c>
      <c r="O1059" s="2">
        <v>8246</v>
      </c>
      <c r="P1059" s="2">
        <v>4686.3999999999996</v>
      </c>
      <c r="Q1059" s="2">
        <v>3559.6</v>
      </c>
      <c r="R1059">
        <v>0</v>
      </c>
      <c r="S1059" s="2" t="str">
        <f>TEXT(data[[#This Row],[Date]],"mmm yyyy")</f>
        <v>Aug 2024</v>
      </c>
      <c r="T1059" s="8">
        <f>data[[#This Row],[Profit]]/data[[#This Row],[Revenue]]</f>
        <v>0.43167596410380787</v>
      </c>
    </row>
    <row r="1060" spans="1:20" x14ac:dyDescent="0.3">
      <c r="A1060">
        <v>11058</v>
      </c>
      <c r="B1060" t="s">
        <v>262</v>
      </c>
      <c r="C1060" t="s">
        <v>609</v>
      </c>
      <c r="D1060" t="s">
        <v>613</v>
      </c>
      <c r="E1060" t="s">
        <v>628</v>
      </c>
      <c r="F1060" t="s">
        <v>1634</v>
      </c>
      <c r="G1060" t="s">
        <v>1763</v>
      </c>
      <c r="H1060" t="s">
        <v>1772</v>
      </c>
      <c r="I1060" t="s">
        <v>1773</v>
      </c>
      <c r="J1060" t="s">
        <v>1777</v>
      </c>
      <c r="K1060">
        <v>10</v>
      </c>
      <c r="L1060" s="2">
        <v>987</v>
      </c>
      <c r="M1060">
        <v>0.1</v>
      </c>
      <c r="N1060" s="2">
        <v>690.04</v>
      </c>
      <c r="O1060" s="2">
        <v>8883</v>
      </c>
      <c r="P1060" s="2">
        <v>6900.4</v>
      </c>
      <c r="Q1060" s="2">
        <v>1982.6</v>
      </c>
      <c r="R1060">
        <v>1</v>
      </c>
      <c r="S1060" s="2" t="str">
        <f>TEXT(data[[#This Row],[Date]],"mmm yyyy")</f>
        <v>Mar 2024</v>
      </c>
      <c r="T1060" s="8">
        <f>data[[#This Row],[Profit]]/data[[#This Row],[Revenue]]</f>
        <v>0.22319036361589553</v>
      </c>
    </row>
    <row r="1061" spans="1:20" x14ac:dyDescent="0.3">
      <c r="A1061">
        <v>11059</v>
      </c>
      <c r="B1061" t="s">
        <v>358</v>
      </c>
      <c r="C1061" t="s">
        <v>609</v>
      </c>
      <c r="D1061" t="s">
        <v>622</v>
      </c>
      <c r="E1061" t="s">
        <v>627</v>
      </c>
      <c r="F1061" t="s">
        <v>1635</v>
      </c>
      <c r="G1061" t="s">
        <v>1760</v>
      </c>
      <c r="H1061" t="s">
        <v>1767</v>
      </c>
      <c r="I1061" t="s">
        <v>1774</v>
      </c>
      <c r="J1061" t="s">
        <v>1776</v>
      </c>
      <c r="K1061">
        <v>6</v>
      </c>
      <c r="L1061" s="2">
        <v>114</v>
      </c>
      <c r="M1061">
        <v>0.1</v>
      </c>
      <c r="N1061" s="2">
        <v>83.64</v>
      </c>
      <c r="O1061" s="2">
        <v>615.6</v>
      </c>
      <c r="P1061" s="2">
        <v>501.84</v>
      </c>
      <c r="Q1061" s="2">
        <v>113.76</v>
      </c>
      <c r="R1061">
        <v>0</v>
      </c>
      <c r="S1061" s="2" t="str">
        <f>TEXT(data[[#This Row],[Date]],"mmm yyyy")</f>
        <v>Jan 2025</v>
      </c>
      <c r="T1061" s="8">
        <f>data[[#This Row],[Profit]]/data[[#This Row],[Revenue]]</f>
        <v>0.1847953216374269</v>
      </c>
    </row>
    <row r="1062" spans="1:20" x14ac:dyDescent="0.3">
      <c r="A1062">
        <v>11060</v>
      </c>
      <c r="B1062" t="s">
        <v>473</v>
      </c>
      <c r="C1062" t="s">
        <v>606</v>
      </c>
      <c r="D1062" t="s">
        <v>620</v>
      </c>
      <c r="E1062" t="s">
        <v>627</v>
      </c>
      <c r="F1062" t="s">
        <v>1636</v>
      </c>
      <c r="G1062" t="s">
        <v>1760</v>
      </c>
      <c r="H1062" t="s">
        <v>1767</v>
      </c>
      <c r="I1062" t="s">
        <v>1775</v>
      </c>
      <c r="J1062" t="s">
        <v>1777</v>
      </c>
      <c r="K1062">
        <v>4</v>
      </c>
      <c r="L1062" s="2">
        <v>116</v>
      </c>
      <c r="M1062">
        <v>0</v>
      </c>
      <c r="N1062" s="2">
        <v>63.33</v>
      </c>
      <c r="O1062" s="2">
        <v>464</v>
      </c>
      <c r="P1062" s="2">
        <v>253.32</v>
      </c>
      <c r="Q1062" s="2">
        <v>210.68</v>
      </c>
      <c r="R1062">
        <v>1</v>
      </c>
      <c r="S1062" s="2" t="str">
        <f>TEXT(data[[#This Row],[Date]],"mmm yyyy")</f>
        <v>Oct 2025</v>
      </c>
      <c r="T1062" s="8">
        <f>data[[#This Row],[Profit]]/data[[#This Row],[Revenue]]</f>
        <v>0.45405172413793105</v>
      </c>
    </row>
    <row r="1063" spans="1:20" x14ac:dyDescent="0.3">
      <c r="A1063">
        <v>11061</v>
      </c>
      <c r="B1063" t="s">
        <v>504</v>
      </c>
      <c r="C1063" t="s">
        <v>609</v>
      </c>
      <c r="D1063" t="s">
        <v>619</v>
      </c>
      <c r="E1063" t="s">
        <v>626</v>
      </c>
      <c r="F1063" t="s">
        <v>1637</v>
      </c>
      <c r="G1063" t="s">
        <v>1761</v>
      </c>
      <c r="H1063" t="s">
        <v>1769</v>
      </c>
      <c r="I1063" t="s">
        <v>1773</v>
      </c>
      <c r="J1063" t="s">
        <v>1779</v>
      </c>
      <c r="K1063">
        <v>2</v>
      </c>
      <c r="L1063" s="2">
        <v>307</v>
      </c>
      <c r="M1063">
        <v>0.1</v>
      </c>
      <c r="N1063" s="2">
        <v>171.45</v>
      </c>
      <c r="O1063" s="2">
        <v>552.6</v>
      </c>
      <c r="P1063" s="2">
        <v>342.9</v>
      </c>
      <c r="Q1063" s="2">
        <v>209.7</v>
      </c>
      <c r="R1063">
        <v>1</v>
      </c>
      <c r="S1063" s="2" t="str">
        <f>TEXT(data[[#This Row],[Date]],"mmm yyyy")</f>
        <v>Aug 2025</v>
      </c>
      <c r="T1063" s="8">
        <f>data[[#This Row],[Profit]]/data[[#This Row],[Revenue]]</f>
        <v>0.37947882736156346</v>
      </c>
    </row>
    <row r="1064" spans="1:20" x14ac:dyDescent="0.3">
      <c r="A1064">
        <v>11062</v>
      </c>
      <c r="B1064" t="s">
        <v>198</v>
      </c>
      <c r="C1064" t="s">
        <v>608</v>
      </c>
      <c r="D1064" t="s">
        <v>614</v>
      </c>
      <c r="E1064" t="s">
        <v>626</v>
      </c>
      <c r="F1064" t="s">
        <v>1638</v>
      </c>
      <c r="G1064" t="s">
        <v>1763</v>
      </c>
      <c r="H1064" t="s">
        <v>1772</v>
      </c>
      <c r="I1064" t="s">
        <v>1775</v>
      </c>
      <c r="J1064" t="s">
        <v>1777</v>
      </c>
      <c r="K1064">
        <v>2</v>
      </c>
      <c r="L1064" s="2">
        <v>808</v>
      </c>
      <c r="M1064">
        <v>0.1</v>
      </c>
      <c r="N1064" s="2">
        <v>595.76</v>
      </c>
      <c r="O1064" s="2">
        <v>1454.4</v>
      </c>
      <c r="P1064" s="2">
        <v>1191.52</v>
      </c>
      <c r="Q1064" s="2">
        <v>262.88</v>
      </c>
      <c r="R1064">
        <v>0</v>
      </c>
      <c r="S1064" s="2" t="str">
        <f>TEXT(data[[#This Row],[Date]],"mmm yyyy")</f>
        <v>Dec 2025</v>
      </c>
      <c r="T1064" s="8">
        <f>data[[#This Row],[Profit]]/data[[#This Row],[Revenue]]</f>
        <v>0.18074807480748073</v>
      </c>
    </row>
    <row r="1065" spans="1:20" x14ac:dyDescent="0.3">
      <c r="A1065">
        <v>11063</v>
      </c>
      <c r="B1065" t="s">
        <v>580</v>
      </c>
      <c r="C1065" t="s">
        <v>609</v>
      </c>
      <c r="D1065" t="s">
        <v>622</v>
      </c>
      <c r="E1065" t="s">
        <v>626</v>
      </c>
      <c r="F1065" t="s">
        <v>1639</v>
      </c>
      <c r="G1065" t="s">
        <v>1763</v>
      </c>
      <c r="H1065" t="s">
        <v>1767</v>
      </c>
      <c r="I1065" t="s">
        <v>1775</v>
      </c>
      <c r="J1065" t="s">
        <v>1777</v>
      </c>
      <c r="K1065">
        <v>17</v>
      </c>
      <c r="L1065" s="2">
        <v>164</v>
      </c>
      <c r="M1065">
        <v>0.15</v>
      </c>
      <c r="N1065" s="2">
        <v>110.69</v>
      </c>
      <c r="O1065" s="2">
        <v>2369.8000000000002</v>
      </c>
      <c r="P1065" s="2">
        <v>1881.73</v>
      </c>
      <c r="Q1065" s="2">
        <v>488.07</v>
      </c>
      <c r="R1065">
        <v>0</v>
      </c>
      <c r="S1065" s="2" t="str">
        <f>TEXT(data[[#This Row],[Date]],"mmm yyyy")</f>
        <v>Oct 2025</v>
      </c>
      <c r="T1065" s="8">
        <f>data[[#This Row],[Profit]]/data[[#This Row],[Revenue]]</f>
        <v>0.20595408895265421</v>
      </c>
    </row>
    <row r="1066" spans="1:20" x14ac:dyDescent="0.3">
      <c r="A1066">
        <v>11064</v>
      </c>
      <c r="B1066" t="s">
        <v>581</v>
      </c>
      <c r="C1066" t="s">
        <v>608</v>
      </c>
      <c r="D1066" t="s">
        <v>614</v>
      </c>
      <c r="E1066" t="s">
        <v>629</v>
      </c>
      <c r="F1066" t="s">
        <v>1640</v>
      </c>
      <c r="G1066" t="s">
        <v>1762</v>
      </c>
      <c r="H1066" t="s">
        <v>1768</v>
      </c>
      <c r="I1066" t="s">
        <v>1774</v>
      </c>
      <c r="J1066" t="s">
        <v>1778</v>
      </c>
      <c r="K1066">
        <v>16</v>
      </c>
      <c r="L1066" s="2">
        <v>1298</v>
      </c>
      <c r="M1066">
        <v>0.05</v>
      </c>
      <c r="N1066" s="2">
        <v>745.55</v>
      </c>
      <c r="O1066" s="2">
        <v>19729.599999999999</v>
      </c>
      <c r="P1066" s="2">
        <v>11928.8</v>
      </c>
      <c r="Q1066" s="2">
        <v>7800.8</v>
      </c>
      <c r="R1066">
        <v>0</v>
      </c>
      <c r="S1066" s="2" t="str">
        <f>TEXT(data[[#This Row],[Date]],"mmm yyyy")</f>
        <v>Nov 2024</v>
      </c>
      <c r="T1066" s="8">
        <f>data[[#This Row],[Profit]]/data[[#This Row],[Revenue]]</f>
        <v>0.39538561349444495</v>
      </c>
    </row>
    <row r="1067" spans="1:20" x14ac:dyDescent="0.3">
      <c r="A1067">
        <v>11065</v>
      </c>
      <c r="B1067" t="s">
        <v>90</v>
      </c>
      <c r="C1067" t="s">
        <v>608</v>
      </c>
      <c r="D1067" t="s">
        <v>614</v>
      </c>
      <c r="E1067" t="s">
        <v>629</v>
      </c>
      <c r="F1067" t="s">
        <v>1641</v>
      </c>
      <c r="G1067" t="s">
        <v>1765</v>
      </c>
      <c r="H1067" t="s">
        <v>1767</v>
      </c>
      <c r="I1067" t="s">
        <v>1774</v>
      </c>
      <c r="J1067" t="s">
        <v>1777</v>
      </c>
      <c r="K1067">
        <v>20</v>
      </c>
      <c r="L1067" s="2">
        <v>281</v>
      </c>
      <c r="M1067">
        <v>0.15</v>
      </c>
      <c r="N1067" s="2">
        <v>188.14</v>
      </c>
      <c r="O1067" s="2">
        <v>4777</v>
      </c>
      <c r="P1067" s="2">
        <v>3762.8</v>
      </c>
      <c r="Q1067" s="2">
        <v>1014.2</v>
      </c>
      <c r="R1067">
        <v>0</v>
      </c>
      <c r="S1067" s="2" t="str">
        <f>TEXT(data[[#This Row],[Date]],"mmm yyyy")</f>
        <v>Oct 2025</v>
      </c>
      <c r="T1067" s="8">
        <f>data[[#This Row],[Profit]]/data[[#This Row],[Revenue]]</f>
        <v>0.21230898053171449</v>
      </c>
    </row>
    <row r="1068" spans="1:20" x14ac:dyDescent="0.3">
      <c r="A1068">
        <v>11066</v>
      </c>
      <c r="B1068" t="s">
        <v>176</v>
      </c>
      <c r="C1068" t="s">
        <v>607</v>
      </c>
      <c r="D1068" t="s">
        <v>624</v>
      </c>
      <c r="E1068" t="s">
        <v>626</v>
      </c>
      <c r="F1068" t="s">
        <v>1642</v>
      </c>
      <c r="G1068" t="s">
        <v>1760</v>
      </c>
      <c r="H1068" t="s">
        <v>1771</v>
      </c>
      <c r="I1068" t="s">
        <v>1773</v>
      </c>
      <c r="J1068" t="s">
        <v>1779</v>
      </c>
      <c r="K1068">
        <v>15</v>
      </c>
      <c r="L1068" s="2">
        <v>309</v>
      </c>
      <c r="M1068">
        <v>0.15</v>
      </c>
      <c r="N1068" s="2">
        <v>200.43</v>
      </c>
      <c r="O1068" s="2">
        <v>3939.75</v>
      </c>
      <c r="P1068" s="2">
        <v>3006.45</v>
      </c>
      <c r="Q1068" s="2">
        <v>933.3</v>
      </c>
      <c r="R1068">
        <v>0</v>
      </c>
      <c r="S1068" s="2" t="str">
        <f>TEXT(data[[#This Row],[Date]],"mmm yyyy")</f>
        <v>Dec 2024</v>
      </c>
      <c r="T1068" s="8">
        <f>data[[#This Row],[Profit]]/data[[#This Row],[Revenue]]</f>
        <v>0.23689320388349513</v>
      </c>
    </row>
    <row r="1069" spans="1:20" x14ac:dyDescent="0.3">
      <c r="A1069">
        <v>11067</v>
      </c>
      <c r="B1069" t="s">
        <v>458</v>
      </c>
      <c r="C1069" t="s">
        <v>608</v>
      </c>
      <c r="D1069" t="s">
        <v>618</v>
      </c>
      <c r="E1069" t="s">
        <v>626</v>
      </c>
      <c r="F1069" t="s">
        <v>1643</v>
      </c>
      <c r="G1069" t="s">
        <v>1762</v>
      </c>
      <c r="H1069" t="s">
        <v>1770</v>
      </c>
      <c r="I1069" t="s">
        <v>1775</v>
      </c>
      <c r="J1069" t="s">
        <v>1779</v>
      </c>
      <c r="K1069">
        <v>17</v>
      </c>
      <c r="L1069" s="2">
        <v>596</v>
      </c>
      <c r="M1069">
        <v>0.1</v>
      </c>
      <c r="N1069" s="2">
        <v>438.02</v>
      </c>
      <c r="O1069" s="2">
        <v>9118.7999999999993</v>
      </c>
      <c r="P1069" s="2">
        <v>7446.34</v>
      </c>
      <c r="Q1069" s="2">
        <v>1672.46</v>
      </c>
      <c r="R1069">
        <v>1</v>
      </c>
      <c r="S1069" s="2" t="str">
        <f>TEXT(data[[#This Row],[Date]],"mmm yyyy")</f>
        <v>Dec 2025</v>
      </c>
      <c r="T1069" s="8">
        <f>data[[#This Row],[Profit]]/data[[#This Row],[Revenue]]</f>
        <v>0.18340790454884418</v>
      </c>
    </row>
    <row r="1070" spans="1:20" x14ac:dyDescent="0.3">
      <c r="A1070">
        <v>11068</v>
      </c>
      <c r="B1070" t="s">
        <v>502</v>
      </c>
      <c r="C1070" t="s">
        <v>609</v>
      </c>
      <c r="D1070" t="s">
        <v>619</v>
      </c>
      <c r="E1070" t="s">
        <v>627</v>
      </c>
      <c r="F1070" t="s">
        <v>1644</v>
      </c>
      <c r="G1070" t="s">
        <v>1766</v>
      </c>
      <c r="H1070" t="s">
        <v>1772</v>
      </c>
      <c r="I1070" t="s">
        <v>1775</v>
      </c>
      <c r="J1070" t="s">
        <v>1776</v>
      </c>
      <c r="K1070">
        <v>10</v>
      </c>
      <c r="L1070" s="2">
        <v>886</v>
      </c>
      <c r="M1070">
        <v>0.1</v>
      </c>
      <c r="N1070" s="2">
        <v>590.47</v>
      </c>
      <c r="O1070" s="2">
        <v>7974</v>
      </c>
      <c r="P1070" s="2">
        <v>5904.7</v>
      </c>
      <c r="Q1070" s="2">
        <v>2069.3000000000002</v>
      </c>
      <c r="R1070">
        <v>1</v>
      </c>
      <c r="S1070" s="2" t="str">
        <f>TEXT(data[[#This Row],[Date]],"mmm yyyy")</f>
        <v>Sep 2025</v>
      </c>
      <c r="T1070" s="8">
        <f>data[[#This Row],[Profit]]/data[[#This Row],[Revenue]]</f>
        <v>0.25950589415600706</v>
      </c>
    </row>
    <row r="1071" spans="1:20" x14ac:dyDescent="0.3">
      <c r="A1071">
        <v>11069</v>
      </c>
      <c r="B1071" t="s">
        <v>268</v>
      </c>
      <c r="C1071" t="s">
        <v>607</v>
      </c>
      <c r="D1071" t="s">
        <v>621</v>
      </c>
      <c r="E1071" t="s">
        <v>628</v>
      </c>
      <c r="F1071" t="s">
        <v>1579</v>
      </c>
      <c r="G1071" t="s">
        <v>1759</v>
      </c>
      <c r="H1071" t="s">
        <v>1769</v>
      </c>
      <c r="I1071" t="s">
        <v>1773</v>
      </c>
      <c r="J1071" t="s">
        <v>1778</v>
      </c>
      <c r="K1071">
        <v>11</v>
      </c>
      <c r="L1071" s="2">
        <v>313</v>
      </c>
      <c r="M1071">
        <v>0</v>
      </c>
      <c r="N1071" s="2">
        <v>164.89</v>
      </c>
      <c r="O1071" s="2">
        <v>3443</v>
      </c>
      <c r="P1071" s="2">
        <v>1813.79</v>
      </c>
      <c r="Q1071" s="2">
        <v>1629.21</v>
      </c>
      <c r="R1071">
        <v>0</v>
      </c>
      <c r="S1071" s="2" t="str">
        <f>TEXT(data[[#This Row],[Date]],"mmm yyyy")</f>
        <v>Jul 2024</v>
      </c>
      <c r="T1071" s="8">
        <f>data[[#This Row],[Profit]]/data[[#This Row],[Revenue]]</f>
        <v>0.47319488817891375</v>
      </c>
    </row>
    <row r="1072" spans="1:20" x14ac:dyDescent="0.3">
      <c r="A1072">
        <v>11070</v>
      </c>
      <c r="B1072" t="s">
        <v>123</v>
      </c>
      <c r="C1072" t="s">
        <v>607</v>
      </c>
      <c r="D1072" t="s">
        <v>611</v>
      </c>
      <c r="E1072" t="s">
        <v>626</v>
      </c>
      <c r="F1072" t="s">
        <v>1645</v>
      </c>
      <c r="G1072" t="s">
        <v>1766</v>
      </c>
      <c r="H1072" t="s">
        <v>1770</v>
      </c>
      <c r="I1072" t="s">
        <v>1773</v>
      </c>
      <c r="J1072" t="s">
        <v>1778</v>
      </c>
      <c r="K1072">
        <v>9</v>
      </c>
      <c r="L1072" s="2">
        <v>572</v>
      </c>
      <c r="M1072">
        <v>0.05</v>
      </c>
      <c r="N1072" s="2">
        <v>340.25</v>
      </c>
      <c r="O1072" s="2">
        <v>4890.6000000000004</v>
      </c>
      <c r="P1072" s="2">
        <v>3062.25</v>
      </c>
      <c r="Q1072" s="2">
        <v>1828.35</v>
      </c>
      <c r="R1072">
        <v>0</v>
      </c>
      <c r="S1072" s="2" t="str">
        <f>TEXT(data[[#This Row],[Date]],"mmm yyyy")</f>
        <v>Oct 2025</v>
      </c>
      <c r="T1072" s="8">
        <f>data[[#This Row],[Profit]]/data[[#This Row],[Revenue]]</f>
        <v>0.3738498343761501</v>
      </c>
    </row>
    <row r="1073" spans="1:20" x14ac:dyDescent="0.3">
      <c r="A1073">
        <v>11071</v>
      </c>
      <c r="B1073" t="s">
        <v>534</v>
      </c>
      <c r="C1073" t="s">
        <v>608</v>
      </c>
      <c r="D1073" t="s">
        <v>615</v>
      </c>
      <c r="E1073" t="s">
        <v>627</v>
      </c>
      <c r="F1073" t="s">
        <v>1646</v>
      </c>
      <c r="G1073" t="s">
        <v>1766</v>
      </c>
      <c r="H1073" t="s">
        <v>1767</v>
      </c>
      <c r="I1073" t="s">
        <v>1773</v>
      </c>
      <c r="J1073" t="s">
        <v>1778</v>
      </c>
      <c r="K1073">
        <v>20</v>
      </c>
      <c r="L1073" s="2">
        <v>175</v>
      </c>
      <c r="M1073">
        <v>0.15</v>
      </c>
      <c r="N1073" s="2">
        <v>119.21</v>
      </c>
      <c r="O1073" s="2">
        <v>2975</v>
      </c>
      <c r="P1073" s="2">
        <v>2384.1999999999998</v>
      </c>
      <c r="Q1073" s="2">
        <v>590.79999999999995</v>
      </c>
      <c r="R1073">
        <v>0</v>
      </c>
      <c r="S1073" s="2" t="str">
        <f>TEXT(data[[#This Row],[Date]],"mmm yyyy")</f>
        <v>Sep 2024</v>
      </c>
      <c r="T1073" s="8">
        <f>data[[#This Row],[Profit]]/data[[#This Row],[Revenue]]</f>
        <v>0.19858823529411762</v>
      </c>
    </row>
    <row r="1074" spans="1:20" x14ac:dyDescent="0.3">
      <c r="A1074">
        <v>11072</v>
      </c>
      <c r="B1074" t="s">
        <v>53</v>
      </c>
      <c r="C1074" t="s">
        <v>608</v>
      </c>
      <c r="D1074" t="s">
        <v>618</v>
      </c>
      <c r="E1074" t="s">
        <v>628</v>
      </c>
      <c r="F1074" t="s">
        <v>1595</v>
      </c>
      <c r="G1074" t="s">
        <v>1763</v>
      </c>
      <c r="H1074" t="s">
        <v>1767</v>
      </c>
      <c r="I1074" t="s">
        <v>1774</v>
      </c>
      <c r="J1074" t="s">
        <v>1776</v>
      </c>
      <c r="K1074">
        <v>9</v>
      </c>
      <c r="L1074" s="2">
        <v>211</v>
      </c>
      <c r="M1074">
        <v>0.2</v>
      </c>
      <c r="N1074" s="2">
        <v>155.54</v>
      </c>
      <c r="O1074" s="2">
        <v>1519.2</v>
      </c>
      <c r="P1074" s="2">
        <v>1399.86</v>
      </c>
      <c r="Q1074" s="2">
        <v>119.34</v>
      </c>
      <c r="R1074">
        <v>0</v>
      </c>
      <c r="S1074" s="2" t="str">
        <f>TEXT(data[[#This Row],[Date]],"mmm yyyy")</f>
        <v>Jun 2025</v>
      </c>
      <c r="T1074" s="8">
        <f>data[[#This Row],[Profit]]/data[[#This Row],[Revenue]]</f>
        <v>7.8554502369668253E-2</v>
      </c>
    </row>
    <row r="1075" spans="1:20" x14ac:dyDescent="0.3">
      <c r="A1075">
        <v>11073</v>
      </c>
      <c r="B1075" t="s">
        <v>468</v>
      </c>
      <c r="C1075" t="s">
        <v>607</v>
      </c>
      <c r="D1075" t="s">
        <v>621</v>
      </c>
      <c r="E1075" t="s">
        <v>626</v>
      </c>
      <c r="F1075" t="s">
        <v>1647</v>
      </c>
      <c r="G1075" t="s">
        <v>1761</v>
      </c>
      <c r="H1075" t="s">
        <v>1769</v>
      </c>
      <c r="I1075" t="s">
        <v>1774</v>
      </c>
      <c r="J1075" t="s">
        <v>1778</v>
      </c>
      <c r="K1075">
        <v>10</v>
      </c>
      <c r="L1075" s="2">
        <v>307</v>
      </c>
      <c r="M1075">
        <v>0.05</v>
      </c>
      <c r="N1075" s="2">
        <v>165.39</v>
      </c>
      <c r="O1075" s="2">
        <v>2916.5</v>
      </c>
      <c r="P1075" s="2">
        <v>1653.9</v>
      </c>
      <c r="Q1075" s="2">
        <v>1262.5999999999999</v>
      </c>
      <c r="R1075">
        <v>0</v>
      </c>
      <c r="S1075" s="2" t="str">
        <f>TEXT(data[[#This Row],[Date]],"mmm yyyy")</f>
        <v>Aug 2025</v>
      </c>
      <c r="T1075" s="8">
        <f>data[[#This Row],[Profit]]/data[[#This Row],[Revenue]]</f>
        <v>0.43291616663809357</v>
      </c>
    </row>
    <row r="1076" spans="1:20" x14ac:dyDescent="0.3">
      <c r="A1076">
        <v>11074</v>
      </c>
      <c r="B1076" t="s">
        <v>306</v>
      </c>
      <c r="C1076" t="s">
        <v>607</v>
      </c>
      <c r="D1076" t="s">
        <v>624</v>
      </c>
      <c r="E1076" t="s">
        <v>629</v>
      </c>
      <c r="F1076" t="s">
        <v>1648</v>
      </c>
      <c r="G1076" t="s">
        <v>1763</v>
      </c>
      <c r="H1076" t="s">
        <v>1771</v>
      </c>
      <c r="I1076" t="s">
        <v>1774</v>
      </c>
      <c r="J1076" t="s">
        <v>1779</v>
      </c>
      <c r="K1076">
        <v>6</v>
      </c>
      <c r="L1076" s="2">
        <v>681</v>
      </c>
      <c r="M1076">
        <v>0.1</v>
      </c>
      <c r="N1076" s="2">
        <v>405.35</v>
      </c>
      <c r="O1076" s="2">
        <v>3677.4</v>
      </c>
      <c r="P1076" s="2">
        <v>2432.1</v>
      </c>
      <c r="Q1076" s="2">
        <v>1245.3</v>
      </c>
      <c r="R1076">
        <v>0</v>
      </c>
      <c r="S1076" s="2" t="str">
        <f>TEXT(data[[#This Row],[Date]],"mmm yyyy")</f>
        <v>Sep 2024</v>
      </c>
      <c r="T1076" s="8">
        <f>data[[#This Row],[Profit]]/data[[#This Row],[Revenue]]</f>
        <v>0.33863599282101481</v>
      </c>
    </row>
    <row r="1077" spans="1:20" x14ac:dyDescent="0.3">
      <c r="A1077">
        <v>11075</v>
      </c>
      <c r="B1077" t="s">
        <v>300</v>
      </c>
      <c r="C1077" t="s">
        <v>608</v>
      </c>
      <c r="D1077" t="s">
        <v>615</v>
      </c>
      <c r="E1077" t="s">
        <v>629</v>
      </c>
      <c r="F1077" t="s">
        <v>1649</v>
      </c>
      <c r="G1077" t="s">
        <v>1761</v>
      </c>
      <c r="H1077" t="s">
        <v>1771</v>
      </c>
      <c r="I1077" t="s">
        <v>1774</v>
      </c>
      <c r="J1077" t="s">
        <v>1777</v>
      </c>
      <c r="K1077">
        <v>2</v>
      </c>
      <c r="L1077" s="2">
        <v>462</v>
      </c>
      <c r="M1077">
        <v>0.1</v>
      </c>
      <c r="N1077" s="2">
        <v>244.86</v>
      </c>
      <c r="O1077" s="2">
        <v>831.6</v>
      </c>
      <c r="P1077" s="2">
        <v>489.72</v>
      </c>
      <c r="Q1077" s="2">
        <v>341.88</v>
      </c>
      <c r="R1077">
        <v>0</v>
      </c>
      <c r="S1077" s="2" t="str">
        <f>TEXT(data[[#This Row],[Date]],"mmm yyyy")</f>
        <v>Sep 2025</v>
      </c>
      <c r="T1077" s="8">
        <f>data[[#This Row],[Profit]]/data[[#This Row],[Revenue]]</f>
        <v>0.41111111111111109</v>
      </c>
    </row>
    <row r="1078" spans="1:20" x14ac:dyDescent="0.3">
      <c r="A1078">
        <v>11076</v>
      </c>
      <c r="B1078" t="s">
        <v>582</v>
      </c>
      <c r="C1078" t="s">
        <v>607</v>
      </c>
      <c r="D1078" t="s">
        <v>624</v>
      </c>
      <c r="E1078" t="s">
        <v>629</v>
      </c>
      <c r="F1078" t="s">
        <v>1650</v>
      </c>
      <c r="G1078" t="s">
        <v>1759</v>
      </c>
      <c r="H1078" t="s">
        <v>1768</v>
      </c>
      <c r="I1078" t="s">
        <v>1775</v>
      </c>
      <c r="J1078" t="s">
        <v>1776</v>
      </c>
      <c r="K1078">
        <v>19</v>
      </c>
      <c r="L1078" s="2">
        <v>989</v>
      </c>
      <c r="M1078">
        <v>0.2</v>
      </c>
      <c r="N1078" s="2">
        <v>721.73</v>
      </c>
      <c r="O1078" s="2">
        <v>15032.8</v>
      </c>
      <c r="P1078" s="2">
        <v>13712.87</v>
      </c>
      <c r="Q1078" s="2">
        <v>1319.93</v>
      </c>
      <c r="R1078">
        <v>1</v>
      </c>
      <c r="S1078" s="2" t="str">
        <f>TEXT(data[[#This Row],[Date]],"mmm yyyy")</f>
        <v>May 2024</v>
      </c>
      <c r="T1078" s="8">
        <f>data[[#This Row],[Profit]]/data[[#This Row],[Revenue]]</f>
        <v>8.7803336703741158E-2</v>
      </c>
    </row>
    <row r="1079" spans="1:20" x14ac:dyDescent="0.3">
      <c r="A1079">
        <v>11077</v>
      </c>
      <c r="B1079" t="s">
        <v>377</v>
      </c>
      <c r="C1079" t="s">
        <v>606</v>
      </c>
      <c r="D1079" t="s">
        <v>610</v>
      </c>
      <c r="E1079" t="s">
        <v>629</v>
      </c>
      <c r="F1079" t="s">
        <v>1651</v>
      </c>
      <c r="G1079" t="s">
        <v>1760</v>
      </c>
      <c r="H1079" t="s">
        <v>1767</v>
      </c>
      <c r="I1079" t="s">
        <v>1774</v>
      </c>
      <c r="J1079" t="s">
        <v>1778</v>
      </c>
      <c r="K1079">
        <v>7</v>
      </c>
      <c r="L1079" s="2">
        <v>149</v>
      </c>
      <c r="M1079">
        <v>0.2</v>
      </c>
      <c r="N1079" s="2">
        <v>111.74</v>
      </c>
      <c r="O1079" s="2">
        <v>834.4</v>
      </c>
      <c r="P1079" s="2">
        <v>782.18</v>
      </c>
      <c r="Q1079" s="2">
        <v>52.22</v>
      </c>
      <c r="R1079">
        <v>0</v>
      </c>
      <c r="S1079" s="2" t="str">
        <f>TEXT(data[[#This Row],[Date]],"mmm yyyy")</f>
        <v>Jan 2025</v>
      </c>
      <c r="T1079" s="8">
        <f>data[[#This Row],[Profit]]/data[[#This Row],[Revenue]]</f>
        <v>6.2583892617449663E-2</v>
      </c>
    </row>
    <row r="1080" spans="1:20" x14ac:dyDescent="0.3">
      <c r="A1080">
        <v>11078</v>
      </c>
      <c r="B1080" t="s">
        <v>145</v>
      </c>
      <c r="C1080" t="s">
        <v>606</v>
      </c>
      <c r="D1080" t="s">
        <v>620</v>
      </c>
      <c r="E1080" t="s">
        <v>628</v>
      </c>
      <c r="F1080" t="s">
        <v>1652</v>
      </c>
      <c r="G1080" t="s">
        <v>1762</v>
      </c>
      <c r="H1080" t="s">
        <v>1768</v>
      </c>
      <c r="I1080" t="s">
        <v>1774</v>
      </c>
      <c r="J1080" t="s">
        <v>1779</v>
      </c>
      <c r="K1080">
        <v>10</v>
      </c>
      <c r="L1080" s="2">
        <v>1147</v>
      </c>
      <c r="M1080">
        <v>0.15</v>
      </c>
      <c r="N1080" s="2">
        <v>819.98</v>
      </c>
      <c r="O1080" s="2">
        <v>9749.5</v>
      </c>
      <c r="P1080" s="2">
        <v>8199.7999999999993</v>
      </c>
      <c r="Q1080" s="2">
        <v>1549.7</v>
      </c>
      <c r="R1080">
        <v>0</v>
      </c>
      <c r="S1080" s="2" t="str">
        <f>TEXT(data[[#This Row],[Date]],"mmm yyyy")</f>
        <v>Jun 2024</v>
      </c>
      <c r="T1080" s="8">
        <f>data[[#This Row],[Profit]]/data[[#This Row],[Revenue]]</f>
        <v>0.15895174111492896</v>
      </c>
    </row>
    <row r="1081" spans="1:20" x14ac:dyDescent="0.3">
      <c r="A1081">
        <v>11079</v>
      </c>
      <c r="B1081" t="s">
        <v>583</v>
      </c>
      <c r="C1081" t="s">
        <v>606</v>
      </c>
      <c r="D1081" t="s">
        <v>625</v>
      </c>
      <c r="E1081" t="s">
        <v>628</v>
      </c>
      <c r="F1081" t="s">
        <v>1653</v>
      </c>
      <c r="G1081" t="s">
        <v>1764</v>
      </c>
      <c r="H1081" t="s">
        <v>1772</v>
      </c>
      <c r="I1081" t="s">
        <v>1775</v>
      </c>
      <c r="J1081" t="s">
        <v>1777</v>
      </c>
      <c r="K1081">
        <v>9</v>
      </c>
      <c r="L1081" s="2">
        <v>588</v>
      </c>
      <c r="M1081">
        <v>0.05</v>
      </c>
      <c r="N1081" s="2">
        <v>384.58</v>
      </c>
      <c r="O1081" s="2">
        <v>5027.3999999999996</v>
      </c>
      <c r="P1081" s="2">
        <v>3461.22</v>
      </c>
      <c r="Q1081" s="2">
        <v>1566.18</v>
      </c>
      <c r="R1081">
        <v>1</v>
      </c>
      <c r="S1081" s="2" t="str">
        <f>TEXT(data[[#This Row],[Date]],"mmm yyyy")</f>
        <v>Jan 2025</v>
      </c>
      <c r="T1081" s="8">
        <f>data[[#This Row],[Profit]]/data[[#This Row],[Revenue]]</f>
        <v>0.31152882205513788</v>
      </c>
    </row>
    <row r="1082" spans="1:20" x14ac:dyDescent="0.3">
      <c r="A1082">
        <v>11080</v>
      </c>
      <c r="B1082" t="s">
        <v>557</v>
      </c>
      <c r="C1082" t="s">
        <v>606</v>
      </c>
      <c r="D1082" t="s">
        <v>625</v>
      </c>
      <c r="E1082" t="s">
        <v>628</v>
      </c>
      <c r="F1082" t="s">
        <v>1191</v>
      </c>
      <c r="G1082" t="s">
        <v>1765</v>
      </c>
      <c r="H1082" t="s">
        <v>1769</v>
      </c>
      <c r="I1082" t="s">
        <v>1775</v>
      </c>
      <c r="J1082" t="s">
        <v>1776</v>
      </c>
      <c r="K1082">
        <v>16</v>
      </c>
      <c r="L1082" s="2">
        <v>227</v>
      </c>
      <c r="M1082">
        <v>0.2</v>
      </c>
      <c r="N1082" s="2">
        <v>143.85</v>
      </c>
      <c r="O1082" s="2">
        <v>2905.6</v>
      </c>
      <c r="P1082" s="2">
        <v>2301.6</v>
      </c>
      <c r="Q1082" s="2">
        <v>604</v>
      </c>
      <c r="R1082">
        <v>0</v>
      </c>
      <c r="S1082" s="2" t="str">
        <f>TEXT(data[[#This Row],[Date]],"mmm yyyy")</f>
        <v>Aug 2025</v>
      </c>
      <c r="T1082" s="8">
        <f>data[[#This Row],[Profit]]/data[[#This Row],[Revenue]]</f>
        <v>0.20787444933920707</v>
      </c>
    </row>
    <row r="1083" spans="1:20" x14ac:dyDescent="0.3">
      <c r="A1083">
        <v>11081</v>
      </c>
      <c r="B1083" t="s">
        <v>489</v>
      </c>
      <c r="C1083" t="s">
        <v>606</v>
      </c>
      <c r="D1083" t="s">
        <v>610</v>
      </c>
      <c r="E1083" t="s">
        <v>628</v>
      </c>
      <c r="F1083" t="s">
        <v>1263</v>
      </c>
      <c r="G1083" t="s">
        <v>1766</v>
      </c>
      <c r="H1083" t="s">
        <v>1771</v>
      </c>
      <c r="I1083" t="s">
        <v>1774</v>
      </c>
      <c r="J1083" t="s">
        <v>1777</v>
      </c>
      <c r="K1083">
        <v>9</v>
      </c>
      <c r="L1083" s="2">
        <v>448</v>
      </c>
      <c r="M1083">
        <v>0.2</v>
      </c>
      <c r="N1083" s="2">
        <v>229.73</v>
      </c>
      <c r="O1083" s="2">
        <v>3225.6</v>
      </c>
      <c r="P1083" s="2">
        <v>2067.5700000000002</v>
      </c>
      <c r="Q1083" s="2">
        <v>1158.03</v>
      </c>
      <c r="R1083">
        <v>0</v>
      </c>
      <c r="S1083" s="2" t="str">
        <f>TEXT(data[[#This Row],[Date]],"mmm yyyy")</f>
        <v>Jan 2024</v>
      </c>
      <c r="T1083" s="8">
        <f>data[[#This Row],[Profit]]/data[[#This Row],[Revenue]]</f>
        <v>0.35901227678571429</v>
      </c>
    </row>
    <row r="1084" spans="1:20" x14ac:dyDescent="0.3">
      <c r="A1084">
        <v>11082</v>
      </c>
      <c r="B1084" t="s">
        <v>380</v>
      </c>
      <c r="C1084" t="s">
        <v>606</v>
      </c>
      <c r="D1084" t="s">
        <v>616</v>
      </c>
      <c r="E1084" t="s">
        <v>627</v>
      </c>
      <c r="F1084" t="s">
        <v>1654</v>
      </c>
      <c r="G1084" t="s">
        <v>1759</v>
      </c>
      <c r="H1084" t="s">
        <v>1767</v>
      </c>
      <c r="I1084" t="s">
        <v>1774</v>
      </c>
      <c r="J1084" t="s">
        <v>1776</v>
      </c>
      <c r="K1084">
        <v>5</v>
      </c>
      <c r="L1084" s="2">
        <v>218</v>
      </c>
      <c r="M1084">
        <v>0.05</v>
      </c>
      <c r="N1084" s="2">
        <v>132.63</v>
      </c>
      <c r="O1084" s="2">
        <v>1035.5</v>
      </c>
      <c r="P1084" s="2">
        <v>663.15</v>
      </c>
      <c r="Q1084" s="2">
        <v>372.35</v>
      </c>
      <c r="R1084">
        <v>1</v>
      </c>
      <c r="S1084" s="2" t="str">
        <f>TEXT(data[[#This Row],[Date]],"mmm yyyy")</f>
        <v>Jun 2024</v>
      </c>
      <c r="T1084" s="8">
        <f>data[[#This Row],[Profit]]/data[[#This Row],[Revenue]]</f>
        <v>0.35958474167069049</v>
      </c>
    </row>
    <row r="1085" spans="1:20" x14ac:dyDescent="0.3">
      <c r="A1085">
        <v>11083</v>
      </c>
      <c r="B1085" t="s">
        <v>475</v>
      </c>
      <c r="C1085" t="s">
        <v>609</v>
      </c>
      <c r="D1085" t="s">
        <v>622</v>
      </c>
      <c r="E1085" t="s">
        <v>626</v>
      </c>
      <c r="F1085" t="s">
        <v>1655</v>
      </c>
      <c r="G1085" t="s">
        <v>1764</v>
      </c>
      <c r="H1085" t="s">
        <v>1769</v>
      </c>
      <c r="I1085" t="s">
        <v>1775</v>
      </c>
      <c r="J1085" t="s">
        <v>1778</v>
      </c>
      <c r="K1085">
        <v>14</v>
      </c>
      <c r="L1085" s="2">
        <v>243</v>
      </c>
      <c r="M1085">
        <v>0.1</v>
      </c>
      <c r="N1085" s="2">
        <v>123.37</v>
      </c>
      <c r="O1085" s="2">
        <v>3061.8</v>
      </c>
      <c r="P1085" s="2">
        <v>1727.18</v>
      </c>
      <c r="Q1085" s="2">
        <v>1334.62</v>
      </c>
      <c r="R1085">
        <v>0</v>
      </c>
      <c r="S1085" s="2" t="str">
        <f>TEXT(data[[#This Row],[Date]],"mmm yyyy")</f>
        <v>Jul 2024</v>
      </c>
      <c r="T1085" s="8">
        <f>data[[#This Row],[Profit]]/data[[#This Row],[Revenue]]</f>
        <v>0.43589391860996796</v>
      </c>
    </row>
    <row r="1086" spans="1:20" x14ac:dyDescent="0.3">
      <c r="A1086">
        <v>11084</v>
      </c>
      <c r="B1086" t="s">
        <v>260</v>
      </c>
      <c r="C1086" t="s">
        <v>606</v>
      </c>
      <c r="D1086" t="s">
        <v>610</v>
      </c>
      <c r="E1086" t="s">
        <v>629</v>
      </c>
      <c r="F1086" t="s">
        <v>1656</v>
      </c>
      <c r="G1086" t="s">
        <v>1760</v>
      </c>
      <c r="H1086" t="s">
        <v>1769</v>
      </c>
      <c r="I1086" t="s">
        <v>1773</v>
      </c>
      <c r="J1086" t="s">
        <v>1778</v>
      </c>
      <c r="K1086">
        <v>16</v>
      </c>
      <c r="L1086" s="2">
        <v>216</v>
      </c>
      <c r="M1086">
        <v>0.1</v>
      </c>
      <c r="N1086" s="2">
        <v>124.91</v>
      </c>
      <c r="O1086" s="2">
        <v>3110.4</v>
      </c>
      <c r="P1086" s="2">
        <v>1998.56</v>
      </c>
      <c r="Q1086" s="2">
        <v>1111.8399999999999</v>
      </c>
      <c r="R1086">
        <v>0</v>
      </c>
      <c r="S1086" s="2" t="str">
        <f>TEXT(data[[#This Row],[Date]],"mmm yyyy")</f>
        <v>May 2024</v>
      </c>
      <c r="T1086" s="8">
        <f>data[[#This Row],[Profit]]/data[[#This Row],[Revenue]]</f>
        <v>0.35745884773662545</v>
      </c>
    </row>
    <row r="1087" spans="1:20" x14ac:dyDescent="0.3">
      <c r="A1087">
        <v>11085</v>
      </c>
      <c r="B1087" t="s">
        <v>255</v>
      </c>
      <c r="C1087" t="s">
        <v>606</v>
      </c>
      <c r="D1087" t="s">
        <v>616</v>
      </c>
      <c r="E1087" t="s">
        <v>629</v>
      </c>
      <c r="F1087" t="s">
        <v>1657</v>
      </c>
      <c r="G1087" t="s">
        <v>1762</v>
      </c>
      <c r="H1087" t="s">
        <v>1768</v>
      </c>
      <c r="I1087" t="s">
        <v>1774</v>
      </c>
      <c r="J1087" t="s">
        <v>1776</v>
      </c>
      <c r="K1087">
        <v>19</v>
      </c>
      <c r="L1087" s="2">
        <v>862</v>
      </c>
      <c r="M1087">
        <v>0.05</v>
      </c>
      <c r="N1087" s="2">
        <v>442.89</v>
      </c>
      <c r="O1087" s="2">
        <v>15559.1</v>
      </c>
      <c r="P1087" s="2">
        <v>8414.91</v>
      </c>
      <c r="Q1087" s="2">
        <v>7144.19</v>
      </c>
      <c r="R1087">
        <v>0</v>
      </c>
      <c r="S1087" s="2" t="str">
        <f>TEXT(data[[#This Row],[Date]],"mmm yyyy")</f>
        <v>Dec 2024</v>
      </c>
      <c r="T1087" s="8">
        <f>data[[#This Row],[Profit]]/data[[#This Row],[Revenue]]</f>
        <v>0.45916473317865425</v>
      </c>
    </row>
    <row r="1088" spans="1:20" x14ac:dyDescent="0.3">
      <c r="A1088">
        <v>11086</v>
      </c>
      <c r="B1088" t="s">
        <v>450</v>
      </c>
      <c r="C1088" t="s">
        <v>609</v>
      </c>
      <c r="D1088" t="s">
        <v>622</v>
      </c>
      <c r="E1088" t="s">
        <v>629</v>
      </c>
      <c r="F1088" t="s">
        <v>1658</v>
      </c>
      <c r="G1088" t="s">
        <v>1766</v>
      </c>
      <c r="H1088" t="s">
        <v>1771</v>
      </c>
      <c r="I1088" t="s">
        <v>1775</v>
      </c>
      <c r="J1088" t="s">
        <v>1776</v>
      </c>
      <c r="K1088">
        <v>8</v>
      </c>
      <c r="L1088" s="2">
        <v>441</v>
      </c>
      <c r="M1088">
        <v>0.05</v>
      </c>
      <c r="N1088" s="2">
        <v>294.89999999999998</v>
      </c>
      <c r="O1088" s="2">
        <v>3351.6</v>
      </c>
      <c r="P1088" s="2">
        <v>2359.1999999999998</v>
      </c>
      <c r="Q1088" s="2">
        <v>992.4</v>
      </c>
      <c r="R1088">
        <v>0</v>
      </c>
      <c r="S1088" s="2" t="str">
        <f>TEXT(data[[#This Row],[Date]],"mmm yyyy")</f>
        <v>Oct 2025</v>
      </c>
      <c r="T1088" s="8">
        <f>data[[#This Row],[Profit]]/data[[#This Row],[Revenue]]</f>
        <v>0.29609738632295024</v>
      </c>
    </row>
    <row r="1089" spans="1:20" x14ac:dyDescent="0.3">
      <c r="A1089">
        <v>11087</v>
      </c>
      <c r="B1089" t="s">
        <v>238</v>
      </c>
      <c r="C1089" t="s">
        <v>608</v>
      </c>
      <c r="D1089" t="s">
        <v>615</v>
      </c>
      <c r="E1089" t="s">
        <v>628</v>
      </c>
      <c r="F1089" t="s">
        <v>1659</v>
      </c>
      <c r="G1089" t="s">
        <v>1761</v>
      </c>
      <c r="H1089" t="s">
        <v>1770</v>
      </c>
      <c r="I1089" t="s">
        <v>1773</v>
      </c>
      <c r="J1089" t="s">
        <v>1776</v>
      </c>
      <c r="K1089">
        <v>12</v>
      </c>
      <c r="L1089" s="2">
        <v>602</v>
      </c>
      <c r="M1089">
        <v>0.1</v>
      </c>
      <c r="N1089" s="2">
        <v>403.86</v>
      </c>
      <c r="O1089" s="2">
        <v>6501.6</v>
      </c>
      <c r="P1089" s="2">
        <v>4846.32</v>
      </c>
      <c r="Q1089" s="2">
        <v>1655.28</v>
      </c>
      <c r="R1089">
        <v>0</v>
      </c>
      <c r="S1089" s="2" t="str">
        <f>TEXT(data[[#This Row],[Date]],"mmm yyyy")</f>
        <v>Sep 2025</v>
      </c>
      <c r="T1089" s="8">
        <f>data[[#This Row],[Profit]]/data[[#This Row],[Revenue]]</f>
        <v>0.25459579180509412</v>
      </c>
    </row>
    <row r="1090" spans="1:20" x14ac:dyDescent="0.3">
      <c r="A1090">
        <v>11088</v>
      </c>
      <c r="B1090" t="s">
        <v>479</v>
      </c>
      <c r="C1090" t="s">
        <v>607</v>
      </c>
      <c r="D1090" t="s">
        <v>611</v>
      </c>
      <c r="E1090" t="s">
        <v>627</v>
      </c>
      <c r="F1090" t="s">
        <v>1605</v>
      </c>
      <c r="G1090" t="s">
        <v>1766</v>
      </c>
      <c r="H1090" t="s">
        <v>1771</v>
      </c>
      <c r="I1090" t="s">
        <v>1775</v>
      </c>
      <c r="J1090" t="s">
        <v>1779</v>
      </c>
      <c r="K1090">
        <v>19</v>
      </c>
      <c r="L1090" s="2">
        <v>473</v>
      </c>
      <c r="M1090">
        <v>0.1</v>
      </c>
      <c r="N1090" s="2">
        <v>294.86</v>
      </c>
      <c r="O1090" s="2">
        <v>8088.3</v>
      </c>
      <c r="P1090" s="2">
        <v>5602.34</v>
      </c>
      <c r="Q1090" s="2">
        <v>2485.96</v>
      </c>
      <c r="R1090">
        <v>1</v>
      </c>
      <c r="S1090" s="2" t="str">
        <f>TEXT(data[[#This Row],[Date]],"mmm yyyy")</f>
        <v>Jun 2025</v>
      </c>
      <c r="T1090" s="8">
        <f>data[[#This Row],[Profit]]/data[[#This Row],[Revenue]]</f>
        <v>0.30735259572468876</v>
      </c>
    </row>
    <row r="1091" spans="1:20" x14ac:dyDescent="0.3">
      <c r="A1091">
        <v>11089</v>
      </c>
      <c r="B1091" t="s">
        <v>64</v>
      </c>
      <c r="C1091" t="s">
        <v>608</v>
      </c>
      <c r="D1091" t="s">
        <v>612</v>
      </c>
      <c r="E1091" t="s">
        <v>626</v>
      </c>
      <c r="F1091" t="s">
        <v>1660</v>
      </c>
      <c r="G1091" t="s">
        <v>1764</v>
      </c>
      <c r="H1091" t="s">
        <v>1769</v>
      </c>
      <c r="I1091" t="s">
        <v>1775</v>
      </c>
      <c r="J1091" t="s">
        <v>1778</v>
      </c>
      <c r="K1091">
        <v>10</v>
      </c>
      <c r="L1091" s="2">
        <v>241</v>
      </c>
      <c r="M1091">
        <v>0.05</v>
      </c>
      <c r="N1091" s="2">
        <v>129.31</v>
      </c>
      <c r="O1091" s="2">
        <v>2289.5</v>
      </c>
      <c r="P1091" s="2">
        <v>1293.0999999999999</v>
      </c>
      <c r="Q1091" s="2">
        <v>996.4</v>
      </c>
      <c r="R1091">
        <v>0</v>
      </c>
      <c r="S1091" s="2" t="str">
        <f>TEXT(data[[#This Row],[Date]],"mmm yyyy")</f>
        <v>Apr 2024</v>
      </c>
      <c r="T1091" s="8">
        <f>data[[#This Row],[Profit]]/data[[#This Row],[Revenue]]</f>
        <v>0.43520419305525221</v>
      </c>
    </row>
    <row r="1092" spans="1:20" x14ac:dyDescent="0.3">
      <c r="A1092">
        <v>11090</v>
      </c>
      <c r="B1092" t="s">
        <v>539</v>
      </c>
      <c r="C1092" t="s">
        <v>609</v>
      </c>
      <c r="D1092" t="s">
        <v>622</v>
      </c>
      <c r="E1092" t="s">
        <v>629</v>
      </c>
      <c r="F1092" t="s">
        <v>1136</v>
      </c>
      <c r="G1092" t="s">
        <v>1759</v>
      </c>
      <c r="H1092" t="s">
        <v>1771</v>
      </c>
      <c r="I1092" t="s">
        <v>1775</v>
      </c>
      <c r="J1092" t="s">
        <v>1779</v>
      </c>
      <c r="K1092">
        <v>15</v>
      </c>
      <c r="L1092" s="2">
        <v>668</v>
      </c>
      <c r="M1092">
        <v>0.1</v>
      </c>
      <c r="N1092" s="2">
        <v>383.56</v>
      </c>
      <c r="O1092" s="2">
        <v>9018</v>
      </c>
      <c r="P1092" s="2">
        <v>5753.4</v>
      </c>
      <c r="Q1092" s="2">
        <v>3264.6</v>
      </c>
      <c r="R1092">
        <v>1</v>
      </c>
      <c r="S1092" s="2" t="str">
        <f>TEXT(data[[#This Row],[Date]],"mmm yyyy")</f>
        <v>Jul 2024</v>
      </c>
      <c r="T1092" s="8">
        <f>data[[#This Row],[Profit]]/data[[#This Row],[Revenue]]</f>
        <v>0.3620093147039255</v>
      </c>
    </row>
    <row r="1093" spans="1:20" x14ac:dyDescent="0.3">
      <c r="A1093">
        <v>11091</v>
      </c>
      <c r="B1093" t="s">
        <v>584</v>
      </c>
      <c r="C1093" t="s">
        <v>608</v>
      </c>
      <c r="D1093" t="s">
        <v>614</v>
      </c>
      <c r="E1093" t="s">
        <v>626</v>
      </c>
      <c r="F1093" t="s">
        <v>1661</v>
      </c>
      <c r="G1093" t="s">
        <v>1760</v>
      </c>
      <c r="H1093" t="s">
        <v>1769</v>
      </c>
      <c r="I1093" t="s">
        <v>1773</v>
      </c>
      <c r="J1093" t="s">
        <v>1777</v>
      </c>
      <c r="K1093">
        <v>20</v>
      </c>
      <c r="L1093" s="2">
        <v>351</v>
      </c>
      <c r="M1093">
        <v>0.15</v>
      </c>
      <c r="N1093" s="2">
        <v>247.88</v>
      </c>
      <c r="O1093" s="2">
        <v>5967</v>
      </c>
      <c r="P1093" s="2">
        <v>4957.6000000000004</v>
      </c>
      <c r="Q1093" s="2">
        <v>1009.4</v>
      </c>
      <c r="R1093">
        <v>1</v>
      </c>
      <c r="S1093" s="2" t="str">
        <f>TEXT(data[[#This Row],[Date]],"mmm yyyy")</f>
        <v>Mar 2024</v>
      </c>
      <c r="T1093" s="8">
        <f>data[[#This Row],[Profit]]/data[[#This Row],[Revenue]]</f>
        <v>0.16916373386961622</v>
      </c>
    </row>
    <row r="1094" spans="1:20" x14ac:dyDescent="0.3">
      <c r="A1094">
        <v>11092</v>
      </c>
      <c r="B1094" t="s">
        <v>32</v>
      </c>
      <c r="C1094" t="s">
        <v>607</v>
      </c>
      <c r="D1094" t="s">
        <v>611</v>
      </c>
      <c r="E1094" t="s">
        <v>628</v>
      </c>
      <c r="F1094" t="s">
        <v>1662</v>
      </c>
      <c r="G1094" t="s">
        <v>1762</v>
      </c>
      <c r="H1094" t="s">
        <v>1767</v>
      </c>
      <c r="I1094" t="s">
        <v>1774</v>
      </c>
      <c r="J1094" t="s">
        <v>1779</v>
      </c>
      <c r="K1094">
        <v>20</v>
      </c>
      <c r="L1094" s="2">
        <v>222</v>
      </c>
      <c r="M1094">
        <v>0.05</v>
      </c>
      <c r="N1094" s="2">
        <v>143.94999999999999</v>
      </c>
      <c r="O1094" s="2">
        <v>4218</v>
      </c>
      <c r="P1094" s="2">
        <v>2879</v>
      </c>
      <c r="Q1094" s="2">
        <v>1339</v>
      </c>
      <c r="R1094">
        <v>0</v>
      </c>
      <c r="S1094" s="2" t="str">
        <f>TEXT(data[[#This Row],[Date]],"mmm yyyy")</f>
        <v>Jan 2024</v>
      </c>
      <c r="T1094" s="8">
        <f>data[[#This Row],[Profit]]/data[[#This Row],[Revenue]]</f>
        <v>0.31744902797534374</v>
      </c>
    </row>
    <row r="1095" spans="1:20" x14ac:dyDescent="0.3">
      <c r="A1095">
        <v>11093</v>
      </c>
      <c r="B1095" t="s">
        <v>136</v>
      </c>
      <c r="C1095" t="s">
        <v>609</v>
      </c>
      <c r="D1095" t="s">
        <v>613</v>
      </c>
      <c r="E1095" t="s">
        <v>627</v>
      </c>
      <c r="F1095" t="s">
        <v>694</v>
      </c>
      <c r="G1095" t="s">
        <v>1766</v>
      </c>
      <c r="H1095" t="s">
        <v>1771</v>
      </c>
      <c r="I1095" t="s">
        <v>1774</v>
      </c>
      <c r="J1095" t="s">
        <v>1777</v>
      </c>
      <c r="K1095">
        <v>2</v>
      </c>
      <c r="L1095" s="2">
        <v>417</v>
      </c>
      <c r="M1095">
        <v>0</v>
      </c>
      <c r="N1095" s="2">
        <v>293.27</v>
      </c>
      <c r="O1095" s="2">
        <v>834</v>
      </c>
      <c r="P1095" s="2">
        <v>586.54</v>
      </c>
      <c r="Q1095" s="2">
        <v>247.46</v>
      </c>
      <c r="R1095">
        <v>0</v>
      </c>
      <c r="S1095" s="2" t="str">
        <f>TEXT(data[[#This Row],[Date]],"mmm yyyy")</f>
        <v>Jan 2025</v>
      </c>
      <c r="T1095" s="8">
        <f>data[[#This Row],[Profit]]/data[[#This Row],[Revenue]]</f>
        <v>0.29671462829736212</v>
      </c>
    </row>
    <row r="1096" spans="1:20" x14ac:dyDescent="0.3">
      <c r="A1096">
        <v>11094</v>
      </c>
      <c r="B1096" t="s">
        <v>583</v>
      </c>
      <c r="C1096" t="s">
        <v>607</v>
      </c>
      <c r="D1096" t="s">
        <v>624</v>
      </c>
      <c r="E1096" t="s">
        <v>629</v>
      </c>
      <c r="F1096" t="s">
        <v>1663</v>
      </c>
      <c r="G1096" t="s">
        <v>1761</v>
      </c>
      <c r="H1096" t="s">
        <v>1772</v>
      </c>
      <c r="I1096" t="s">
        <v>1773</v>
      </c>
      <c r="J1096" t="s">
        <v>1778</v>
      </c>
      <c r="K1096">
        <v>14</v>
      </c>
      <c r="L1096" s="2">
        <v>669</v>
      </c>
      <c r="M1096">
        <v>0.2</v>
      </c>
      <c r="N1096" s="2">
        <v>427.55</v>
      </c>
      <c r="O1096" s="2">
        <v>7492.8</v>
      </c>
      <c r="P1096" s="2">
        <v>5985.7</v>
      </c>
      <c r="Q1096" s="2">
        <v>1507.1</v>
      </c>
      <c r="R1096">
        <v>0</v>
      </c>
      <c r="S1096" s="2" t="str">
        <f>TEXT(data[[#This Row],[Date]],"mmm yyyy")</f>
        <v>Jan 2025</v>
      </c>
      <c r="T1096" s="8">
        <f>data[[#This Row],[Profit]]/data[[#This Row],[Revenue]]</f>
        <v>0.20113976083707025</v>
      </c>
    </row>
    <row r="1097" spans="1:20" x14ac:dyDescent="0.3">
      <c r="A1097">
        <v>11095</v>
      </c>
      <c r="B1097" t="s">
        <v>537</v>
      </c>
      <c r="C1097" t="s">
        <v>608</v>
      </c>
      <c r="D1097" t="s">
        <v>615</v>
      </c>
      <c r="E1097" t="s">
        <v>629</v>
      </c>
      <c r="F1097" t="s">
        <v>1664</v>
      </c>
      <c r="G1097" t="s">
        <v>1762</v>
      </c>
      <c r="H1097" t="s">
        <v>1769</v>
      </c>
      <c r="I1097" t="s">
        <v>1775</v>
      </c>
      <c r="J1097" t="s">
        <v>1776</v>
      </c>
      <c r="K1097">
        <v>8</v>
      </c>
      <c r="L1097" s="2">
        <v>348</v>
      </c>
      <c r="M1097">
        <v>0.1</v>
      </c>
      <c r="N1097" s="2">
        <v>209.41</v>
      </c>
      <c r="O1097" s="2">
        <v>2505.6</v>
      </c>
      <c r="P1097" s="2">
        <v>1675.28</v>
      </c>
      <c r="Q1097" s="2">
        <v>830.32</v>
      </c>
      <c r="R1097">
        <v>0</v>
      </c>
      <c r="S1097" s="2" t="str">
        <f>TEXT(data[[#This Row],[Date]],"mmm yyyy")</f>
        <v>Jun 2025</v>
      </c>
      <c r="T1097" s="8">
        <f>data[[#This Row],[Profit]]/data[[#This Row],[Revenue]]</f>
        <v>0.33138569604086848</v>
      </c>
    </row>
    <row r="1098" spans="1:20" x14ac:dyDescent="0.3">
      <c r="A1098">
        <v>11096</v>
      </c>
      <c r="B1098" t="s">
        <v>71</v>
      </c>
      <c r="C1098" t="s">
        <v>606</v>
      </c>
      <c r="D1098" t="s">
        <v>625</v>
      </c>
      <c r="E1098" t="s">
        <v>628</v>
      </c>
      <c r="F1098" t="s">
        <v>1665</v>
      </c>
      <c r="G1098" t="s">
        <v>1761</v>
      </c>
      <c r="H1098" t="s">
        <v>1767</v>
      </c>
      <c r="I1098" t="s">
        <v>1775</v>
      </c>
      <c r="J1098" t="s">
        <v>1776</v>
      </c>
      <c r="K1098">
        <v>13</v>
      </c>
      <c r="L1098" s="2">
        <v>95</v>
      </c>
      <c r="M1098">
        <v>0.1</v>
      </c>
      <c r="N1098" s="2">
        <v>56.8</v>
      </c>
      <c r="O1098" s="2">
        <v>1111.5</v>
      </c>
      <c r="P1098" s="2">
        <v>738.4</v>
      </c>
      <c r="Q1098" s="2">
        <v>373.1</v>
      </c>
      <c r="R1098">
        <v>1</v>
      </c>
      <c r="S1098" s="2" t="str">
        <f>TEXT(data[[#This Row],[Date]],"mmm yyyy")</f>
        <v>Jan 2025</v>
      </c>
      <c r="T1098" s="8">
        <f>data[[#This Row],[Profit]]/data[[#This Row],[Revenue]]</f>
        <v>0.33567251461988307</v>
      </c>
    </row>
    <row r="1099" spans="1:20" x14ac:dyDescent="0.3">
      <c r="A1099">
        <v>11097</v>
      </c>
      <c r="B1099" t="s">
        <v>585</v>
      </c>
      <c r="C1099" t="s">
        <v>609</v>
      </c>
      <c r="D1099" t="s">
        <v>622</v>
      </c>
      <c r="E1099" t="s">
        <v>628</v>
      </c>
      <c r="F1099" t="s">
        <v>1666</v>
      </c>
      <c r="G1099" t="s">
        <v>1760</v>
      </c>
      <c r="H1099" t="s">
        <v>1770</v>
      </c>
      <c r="I1099" t="s">
        <v>1773</v>
      </c>
      <c r="J1099" t="s">
        <v>1779</v>
      </c>
      <c r="K1099">
        <v>2</v>
      </c>
      <c r="L1099" s="2">
        <v>955</v>
      </c>
      <c r="M1099">
        <v>0.2</v>
      </c>
      <c r="N1099" s="2">
        <v>536.03</v>
      </c>
      <c r="O1099" s="2">
        <v>1528</v>
      </c>
      <c r="P1099" s="2">
        <v>1072.06</v>
      </c>
      <c r="Q1099" s="2">
        <v>455.94</v>
      </c>
      <c r="R1099">
        <v>1</v>
      </c>
      <c r="S1099" s="2" t="str">
        <f>TEXT(data[[#This Row],[Date]],"mmm yyyy")</f>
        <v>Mar 2024</v>
      </c>
      <c r="T1099" s="8">
        <f>data[[#This Row],[Profit]]/data[[#This Row],[Revenue]]</f>
        <v>0.29839005235602095</v>
      </c>
    </row>
    <row r="1100" spans="1:20" x14ac:dyDescent="0.3">
      <c r="A1100">
        <v>11098</v>
      </c>
      <c r="B1100" t="s">
        <v>159</v>
      </c>
      <c r="C1100" t="s">
        <v>609</v>
      </c>
      <c r="D1100" t="s">
        <v>623</v>
      </c>
      <c r="E1100" t="s">
        <v>628</v>
      </c>
      <c r="F1100" t="s">
        <v>1369</v>
      </c>
      <c r="G1100" t="s">
        <v>1759</v>
      </c>
      <c r="H1100" t="s">
        <v>1769</v>
      </c>
      <c r="I1100" t="s">
        <v>1774</v>
      </c>
      <c r="J1100" t="s">
        <v>1778</v>
      </c>
      <c r="K1100">
        <v>7</v>
      </c>
      <c r="L1100" s="2">
        <v>393</v>
      </c>
      <c r="M1100">
        <v>0.05</v>
      </c>
      <c r="N1100" s="2">
        <v>235.73</v>
      </c>
      <c r="O1100" s="2">
        <v>2613.4499999999998</v>
      </c>
      <c r="P1100" s="2">
        <v>1650.11</v>
      </c>
      <c r="Q1100" s="2">
        <v>963.34</v>
      </c>
      <c r="R1100">
        <v>0</v>
      </c>
      <c r="S1100" s="2" t="str">
        <f>TEXT(data[[#This Row],[Date]],"mmm yyyy")</f>
        <v>Feb 2025</v>
      </c>
      <c r="T1100" s="8">
        <f>data[[#This Row],[Profit]]/data[[#This Row],[Revenue]]</f>
        <v>0.36860854426141693</v>
      </c>
    </row>
    <row r="1101" spans="1:20" x14ac:dyDescent="0.3">
      <c r="A1101">
        <v>11099</v>
      </c>
      <c r="B1101" t="s">
        <v>401</v>
      </c>
      <c r="C1101" t="s">
        <v>609</v>
      </c>
      <c r="D1101" t="s">
        <v>613</v>
      </c>
      <c r="E1101" t="s">
        <v>628</v>
      </c>
      <c r="F1101" t="s">
        <v>1667</v>
      </c>
      <c r="G1101" t="s">
        <v>1761</v>
      </c>
      <c r="H1101" t="s">
        <v>1772</v>
      </c>
      <c r="I1101" t="s">
        <v>1775</v>
      </c>
      <c r="J1101" t="s">
        <v>1778</v>
      </c>
      <c r="K1101">
        <v>11</v>
      </c>
      <c r="L1101" s="2">
        <v>935</v>
      </c>
      <c r="M1101">
        <v>0.05</v>
      </c>
      <c r="N1101" s="2">
        <v>665.42</v>
      </c>
      <c r="O1101" s="2">
        <v>9770.75</v>
      </c>
      <c r="P1101" s="2">
        <v>7319.62</v>
      </c>
      <c r="Q1101" s="2">
        <v>2451.13</v>
      </c>
      <c r="R1101">
        <v>0</v>
      </c>
      <c r="S1101" s="2" t="str">
        <f>TEXT(data[[#This Row],[Date]],"mmm yyyy")</f>
        <v>Dec 2024</v>
      </c>
      <c r="T1101" s="8">
        <f>data[[#This Row],[Profit]]/data[[#This Row],[Revenue]]</f>
        <v>0.25086405854207711</v>
      </c>
    </row>
    <row r="1102" spans="1:20" x14ac:dyDescent="0.3">
      <c r="A1102">
        <v>11100</v>
      </c>
      <c r="B1102" t="s">
        <v>41</v>
      </c>
      <c r="C1102" t="s">
        <v>606</v>
      </c>
      <c r="D1102" t="s">
        <v>610</v>
      </c>
      <c r="E1102" t="s">
        <v>629</v>
      </c>
      <c r="F1102" t="s">
        <v>1668</v>
      </c>
      <c r="G1102" t="s">
        <v>1765</v>
      </c>
      <c r="H1102" t="s">
        <v>1768</v>
      </c>
      <c r="I1102" t="s">
        <v>1775</v>
      </c>
      <c r="J1102" t="s">
        <v>1777</v>
      </c>
      <c r="K1102">
        <v>16</v>
      </c>
      <c r="L1102" s="2">
        <v>832</v>
      </c>
      <c r="M1102">
        <v>0.15</v>
      </c>
      <c r="N1102" s="2">
        <v>617</v>
      </c>
      <c r="O1102" s="2">
        <v>11315.2</v>
      </c>
      <c r="P1102" s="2">
        <v>9872</v>
      </c>
      <c r="Q1102" s="2">
        <v>1443.2</v>
      </c>
      <c r="R1102">
        <v>1</v>
      </c>
      <c r="S1102" s="2" t="str">
        <f>TEXT(data[[#This Row],[Date]],"mmm yyyy")</f>
        <v>Nov 2025</v>
      </c>
      <c r="T1102" s="8">
        <f>data[[#This Row],[Profit]]/data[[#This Row],[Revenue]]</f>
        <v>0.12754524886877827</v>
      </c>
    </row>
    <row r="1103" spans="1:20" x14ac:dyDescent="0.3">
      <c r="A1103">
        <v>11101</v>
      </c>
      <c r="B1103" t="s">
        <v>586</v>
      </c>
      <c r="C1103" t="s">
        <v>609</v>
      </c>
      <c r="D1103" t="s">
        <v>613</v>
      </c>
      <c r="E1103" t="s">
        <v>626</v>
      </c>
      <c r="F1103" t="s">
        <v>1669</v>
      </c>
      <c r="G1103" t="s">
        <v>1764</v>
      </c>
      <c r="H1103" t="s">
        <v>1769</v>
      </c>
      <c r="I1103" t="s">
        <v>1773</v>
      </c>
      <c r="J1103" t="s">
        <v>1778</v>
      </c>
      <c r="K1103">
        <v>16</v>
      </c>
      <c r="L1103" s="2">
        <v>419</v>
      </c>
      <c r="M1103">
        <v>0.1</v>
      </c>
      <c r="N1103" s="2">
        <v>311.10000000000002</v>
      </c>
      <c r="O1103" s="2">
        <v>6033.6</v>
      </c>
      <c r="P1103" s="2">
        <v>4977.6000000000004</v>
      </c>
      <c r="Q1103" s="2">
        <v>1056</v>
      </c>
      <c r="R1103">
        <v>1</v>
      </c>
      <c r="S1103" s="2" t="str">
        <f>TEXT(data[[#This Row],[Date]],"mmm yyyy")</f>
        <v>Nov 2024</v>
      </c>
      <c r="T1103" s="8">
        <f>data[[#This Row],[Profit]]/data[[#This Row],[Revenue]]</f>
        <v>0.17501988862370724</v>
      </c>
    </row>
    <row r="1104" spans="1:20" x14ac:dyDescent="0.3">
      <c r="A1104">
        <v>11102</v>
      </c>
      <c r="B1104" t="s">
        <v>108</v>
      </c>
      <c r="C1104" t="s">
        <v>607</v>
      </c>
      <c r="D1104" t="s">
        <v>611</v>
      </c>
      <c r="E1104" t="s">
        <v>629</v>
      </c>
      <c r="F1104" t="s">
        <v>1670</v>
      </c>
      <c r="G1104" t="s">
        <v>1766</v>
      </c>
      <c r="H1104" t="s">
        <v>1771</v>
      </c>
      <c r="I1104" t="s">
        <v>1773</v>
      </c>
      <c r="J1104" t="s">
        <v>1779</v>
      </c>
      <c r="K1104">
        <v>20</v>
      </c>
      <c r="L1104" s="2">
        <v>496</v>
      </c>
      <c r="M1104">
        <v>0</v>
      </c>
      <c r="N1104" s="2">
        <v>250.55</v>
      </c>
      <c r="O1104" s="2">
        <v>9920</v>
      </c>
      <c r="P1104" s="2">
        <v>5011</v>
      </c>
      <c r="Q1104" s="2">
        <v>4909</v>
      </c>
      <c r="R1104">
        <v>0</v>
      </c>
      <c r="S1104" s="2" t="str">
        <f>TEXT(data[[#This Row],[Date]],"mmm yyyy")</f>
        <v>Dec 2025</v>
      </c>
      <c r="T1104" s="8">
        <f>data[[#This Row],[Profit]]/data[[#This Row],[Revenue]]</f>
        <v>0.49485887096774195</v>
      </c>
    </row>
    <row r="1105" spans="1:20" x14ac:dyDescent="0.3">
      <c r="A1105">
        <v>11103</v>
      </c>
      <c r="B1105" t="s">
        <v>282</v>
      </c>
      <c r="C1105" t="s">
        <v>607</v>
      </c>
      <c r="D1105" t="s">
        <v>621</v>
      </c>
      <c r="E1105" t="s">
        <v>629</v>
      </c>
      <c r="F1105" t="s">
        <v>1671</v>
      </c>
      <c r="G1105" t="s">
        <v>1762</v>
      </c>
      <c r="H1105" t="s">
        <v>1771</v>
      </c>
      <c r="I1105" t="s">
        <v>1774</v>
      </c>
      <c r="J1105" t="s">
        <v>1776</v>
      </c>
      <c r="K1105">
        <v>1</v>
      </c>
      <c r="L1105" s="2">
        <v>652</v>
      </c>
      <c r="M1105">
        <v>0.05</v>
      </c>
      <c r="N1105" s="2">
        <v>440.31</v>
      </c>
      <c r="O1105" s="2">
        <v>619.4</v>
      </c>
      <c r="P1105" s="2">
        <v>440.31</v>
      </c>
      <c r="Q1105" s="2">
        <v>179.09</v>
      </c>
      <c r="R1105">
        <v>0</v>
      </c>
      <c r="S1105" s="2" t="str">
        <f>TEXT(data[[#This Row],[Date]],"mmm yyyy")</f>
        <v>May 2024</v>
      </c>
      <c r="T1105" s="8">
        <f>data[[#This Row],[Profit]]/data[[#This Row],[Revenue]]</f>
        <v>0.28913464643203102</v>
      </c>
    </row>
    <row r="1106" spans="1:20" x14ac:dyDescent="0.3">
      <c r="A1106">
        <v>11104</v>
      </c>
      <c r="B1106" t="s">
        <v>410</v>
      </c>
      <c r="C1106" t="s">
        <v>606</v>
      </c>
      <c r="D1106" t="s">
        <v>625</v>
      </c>
      <c r="E1106" t="s">
        <v>626</v>
      </c>
      <c r="F1106" t="s">
        <v>1672</v>
      </c>
      <c r="G1106" t="s">
        <v>1765</v>
      </c>
      <c r="H1106" t="s">
        <v>1772</v>
      </c>
      <c r="I1106" t="s">
        <v>1774</v>
      </c>
      <c r="J1106" t="s">
        <v>1778</v>
      </c>
      <c r="K1106">
        <v>10</v>
      </c>
      <c r="L1106" s="2">
        <v>820</v>
      </c>
      <c r="M1106">
        <v>0</v>
      </c>
      <c r="N1106" s="2">
        <v>517.76</v>
      </c>
      <c r="O1106" s="2">
        <v>8200</v>
      </c>
      <c r="P1106" s="2">
        <v>5177.6000000000004</v>
      </c>
      <c r="Q1106" s="2">
        <v>3022.4</v>
      </c>
      <c r="R1106">
        <v>0</v>
      </c>
      <c r="S1106" s="2" t="str">
        <f>TEXT(data[[#This Row],[Date]],"mmm yyyy")</f>
        <v>Jan 2024</v>
      </c>
      <c r="T1106" s="8">
        <f>data[[#This Row],[Profit]]/data[[#This Row],[Revenue]]</f>
        <v>0.36858536585365853</v>
      </c>
    </row>
    <row r="1107" spans="1:20" x14ac:dyDescent="0.3">
      <c r="A1107">
        <v>11105</v>
      </c>
      <c r="B1107" t="s">
        <v>179</v>
      </c>
      <c r="C1107" t="s">
        <v>608</v>
      </c>
      <c r="D1107" t="s">
        <v>614</v>
      </c>
      <c r="E1107" t="s">
        <v>627</v>
      </c>
      <c r="F1107" t="s">
        <v>1673</v>
      </c>
      <c r="G1107" t="s">
        <v>1766</v>
      </c>
      <c r="H1107" t="s">
        <v>1771</v>
      </c>
      <c r="I1107" t="s">
        <v>1773</v>
      </c>
      <c r="J1107" t="s">
        <v>1778</v>
      </c>
      <c r="K1107">
        <v>7</v>
      </c>
      <c r="L1107" s="2">
        <v>463</v>
      </c>
      <c r="M1107">
        <v>0.2</v>
      </c>
      <c r="N1107" s="2">
        <v>288.70999999999998</v>
      </c>
      <c r="O1107" s="2">
        <v>2592.8000000000002</v>
      </c>
      <c r="P1107" s="2">
        <v>2020.97</v>
      </c>
      <c r="Q1107" s="2">
        <v>571.83000000000004</v>
      </c>
      <c r="R1107">
        <v>0</v>
      </c>
      <c r="S1107" s="2" t="str">
        <f>TEXT(data[[#This Row],[Date]],"mmm yyyy")</f>
        <v>Nov 2024</v>
      </c>
      <c r="T1107" s="8">
        <f>data[[#This Row],[Profit]]/data[[#This Row],[Revenue]]</f>
        <v>0.22054535637149028</v>
      </c>
    </row>
    <row r="1108" spans="1:20" x14ac:dyDescent="0.3">
      <c r="A1108">
        <v>11106</v>
      </c>
      <c r="B1108" t="s">
        <v>587</v>
      </c>
      <c r="C1108" t="s">
        <v>608</v>
      </c>
      <c r="D1108" t="s">
        <v>618</v>
      </c>
      <c r="E1108" t="s">
        <v>626</v>
      </c>
      <c r="F1108" t="s">
        <v>1674</v>
      </c>
      <c r="G1108" t="s">
        <v>1762</v>
      </c>
      <c r="H1108" t="s">
        <v>1767</v>
      </c>
      <c r="I1108" t="s">
        <v>1774</v>
      </c>
      <c r="J1108" t="s">
        <v>1779</v>
      </c>
      <c r="K1108">
        <v>3</v>
      </c>
      <c r="L1108" s="2">
        <v>288</v>
      </c>
      <c r="M1108">
        <v>0.05</v>
      </c>
      <c r="N1108" s="2">
        <v>154.35</v>
      </c>
      <c r="O1108" s="2">
        <v>820.8</v>
      </c>
      <c r="P1108" s="2">
        <v>463.05</v>
      </c>
      <c r="Q1108" s="2">
        <v>357.75</v>
      </c>
      <c r="R1108">
        <v>0</v>
      </c>
      <c r="S1108" s="2" t="str">
        <f>TEXT(data[[#This Row],[Date]],"mmm yyyy")</f>
        <v>Aug 2024</v>
      </c>
      <c r="T1108" s="8">
        <f>data[[#This Row],[Profit]]/data[[#This Row],[Revenue]]</f>
        <v>0.43585526315789475</v>
      </c>
    </row>
    <row r="1109" spans="1:20" x14ac:dyDescent="0.3">
      <c r="A1109">
        <v>11107</v>
      </c>
      <c r="B1109" t="s">
        <v>345</v>
      </c>
      <c r="C1109" t="s">
        <v>607</v>
      </c>
      <c r="D1109" t="s">
        <v>611</v>
      </c>
      <c r="E1109" t="s">
        <v>629</v>
      </c>
      <c r="F1109" t="s">
        <v>692</v>
      </c>
      <c r="G1109" t="s">
        <v>1762</v>
      </c>
      <c r="H1109" t="s">
        <v>1770</v>
      </c>
      <c r="I1109" t="s">
        <v>1773</v>
      </c>
      <c r="J1109" t="s">
        <v>1779</v>
      </c>
      <c r="K1109">
        <v>13</v>
      </c>
      <c r="L1109" s="2">
        <v>544</v>
      </c>
      <c r="M1109">
        <v>0</v>
      </c>
      <c r="N1109" s="2">
        <v>349.83</v>
      </c>
      <c r="O1109" s="2">
        <v>7072</v>
      </c>
      <c r="P1109" s="2">
        <v>4547.79</v>
      </c>
      <c r="Q1109" s="2">
        <v>2524.21</v>
      </c>
      <c r="R1109">
        <v>0</v>
      </c>
      <c r="S1109" s="2" t="str">
        <f>TEXT(data[[#This Row],[Date]],"mmm yyyy")</f>
        <v>Jun 2024</v>
      </c>
      <c r="T1109" s="8">
        <f>data[[#This Row],[Profit]]/data[[#This Row],[Revenue]]</f>
        <v>0.35693014705882353</v>
      </c>
    </row>
    <row r="1110" spans="1:20" x14ac:dyDescent="0.3">
      <c r="A1110">
        <v>11108</v>
      </c>
      <c r="B1110" t="s">
        <v>288</v>
      </c>
      <c r="C1110" t="s">
        <v>607</v>
      </c>
      <c r="D1110" t="s">
        <v>624</v>
      </c>
      <c r="E1110" t="s">
        <v>627</v>
      </c>
      <c r="F1110" t="s">
        <v>1675</v>
      </c>
      <c r="G1110" t="s">
        <v>1761</v>
      </c>
      <c r="H1110" t="s">
        <v>1768</v>
      </c>
      <c r="I1110" t="s">
        <v>1773</v>
      </c>
      <c r="J1110" t="s">
        <v>1779</v>
      </c>
      <c r="K1110">
        <v>18</v>
      </c>
      <c r="L1110" s="2">
        <v>1030</v>
      </c>
      <c r="M1110">
        <v>0.15</v>
      </c>
      <c r="N1110" s="2">
        <v>698.27</v>
      </c>
      <c r="O1110" s="2">
        <v>15759</v>
      </c>
      <c r="P1110" s="2">
        <v>12568.86</v>
      </c>
      <c r="Q1110" s="2">
        <v>3190.14</v>
      </c>
      <c r="R1110">
        <v>0</v>
      </c>
      <c r="S1110" s="2" t="str">
        <f>TEXT(data[[#This Row],[Date]],"mmm yyyy")</f>
        <v>Nov 2025</v>
      </c>
      <c r="T1110" s="8">
        <f>data[[#This Row],[Profit]]/data[[#This Row],[Revenue]]</f>
        <v>0.20243289548829241</v>
      </c>
    </row>
    <row r="1111" spans="1:20" x14ac:dyDescent="0.3">
      <c r="A1111">
        <v>11109</v>
      </c>
      <c r="B1111" t="s">
        <v>588</v>
      </c>
      <c r="C1111" t="s">
        <v>607</v>
      </c>
      <c r="D1111" t="s">
        <v>621</v>
      </c>
      <c r="E1111" t="s">
        <v>629</v>
      </c>
      <c r="F1111" t="s">
        <v>754</v>
      </c>
      <c r="G1111" t="s">
        <v>1764</v>
      </c>
      <c r="H1111" t="s">
        <v>1769</v>
      </c>
      <c r="I1111" t="s">
        <v>1775</v>
      </c>
      <c r="J1111" t="s">
        <v>1777</v>
      </c>
      <c r="K1111">
        <v>10</v>
      </c>
      <c r="L1111" s="2">
        <v>408</v>
      </c>
      <c r="M1111">
        <v>0</v>
      </c>
      <c r="N1111" s="2">
        <v>249.14</v>
      </c>
      <c r="O1111" s="2">
        <v>4080</v>
      </c>
      <c r="P1111" s="2">
        <v>2491.4</v>
      </c>
      <c r="Q1111" s="2">
        <v>1588.6</v>
      </c>
      <c r="R1111">
        <v>0</v>
      </c>
      <c r="S1111" s="2" t="str">
        <f>TEXT(data[[#This Row],[Date]],"mmm yyyy")</f>
        <v>Apr 2025</v>
      </c>
      <c r="T1111" s="8">
        <f>data[[#This Row],[Profit]]/data[[#This Row],[Revenue]]</f>
        <v>0.3893627450980392</v>
      </c>
    </row>
    <row r="1112" spans="1:20" x14ac:dyDescent="0.3">
      <c r="A1112">
        <v>11110</v>
      </c>
      <c r="B1112" t="s">
        <v>589</v>
      </c>
      <c r="C1112" t="s">
        <v>607</v>
      </c>
      <c r="D1112" t="s">
        <v>621</v>
      </c>
      <c r="E1112" t="s">
        <v>628</v>
      </c>
      <c r="F1112" t="s">
        <v>1676</v>
      </c>
      <c r="G1112" t="s">
        <v>1765</v>
      </c>
      <c r="H1112" t="s">
        <v>1767</v>
      </c>
      <c r="I1112" t="s">
        <v>1774</v>
      </c>
      <c r="J1112" t="s">
        <v>1778</v>
      </c>
      <c r="K1112">
        <v>15</v>
      </c>
      <c r="L1112" s="2">
        <v>90</v>
      </c>
      <c r="M1112">
        <v>0.05</v>
      </c>
      <c r="N1112" s="2">
        <v>54.61</v>
      </c>
      <c r="O1112" s="2">
        <v>1282.5</v>
      </c>
      <c r="P1112" s="2">
        <v>819.15</v>
      </c>
      <c r="Q1112" s="2">
        <v>463.35</v>
      </c>
      <c r="R1112">
        <v>0</v>
      </c>
      <c r="S1112" s="2" t="str">
        <f>TEXT(data[[#This Row],[Date]],"mmm yyyy")</f>
        <v>Aug 2025</v>
      </c>
      <c r="T1112" s="8">
        <f>data[[#This Row],[Profit]]/data[[#This Row],[Revenue]]</f>
        <v>0.36128654970760238</v>
      </c>
    </row>
    <row r="1113" spans="1:20" x14ac:dyDescent="0.3">
      <c r="A1113">
        <v>11111</v>
      </c>
      <c r="B1113" t="s">
        <v>540</v>
      </c>
      <c r="C1113" t="s">
        <v>609</v>
      </c>
      <c r="D1113" t="s">
        <v>613</v>
      </c>
      <c r="E1113" t="s">
        <v>626</v>
      </c>
      <c r="F1113" t="s">
        <v>1646</v>
      </c>
      <c r="G1113" t="s">
        <v>1763</v>
      </c>
      <c r="H1113" t="s">
        <v>1770</v>
      </c>
      <c r="I1113" t="s">
        <v>1773</v>
      </c>
      <c r="J1113" t="s">
        <v>1776</v>
      </c>
      <c r="K1113">
        <v>10</v>
      </c>
      <c r="L1113" s="2">
        <v>676</v>
      </c>
      <c r="M1113">
        <v>0.15</v>
      </c>
      <c r="N1113" s="2">
        <v>436.17</v>
      </c>
      <c r="O1113" s="2">
        <v>5746</v>
      </c>
      <c r="P1113" s="2">
        <v>4361.7</v>
      </c>
      <c r="Q1113" s="2">
        <v>1384.3</v>
      </c>
      <c r="R1113">
        <v>0</v>
      </c>
      <c r="S1113" s="2" t="str">
        <f>TEXT(data[[#This Row],[Date]],"mmm yyyy")</f>
        <v>Feb 2024</v>
      </c>
      <c r="T1113" s="8">
        <f>data[[#This Row],[Profit]]/data[[#This Row],[Revenue]]</f>
        <v>0.24091541942220673</v>
      </c>
    </row>
    <row r="1114" spans="1:20" x14ac:dyDescent="0.3">
      <c r="A1114">
        <v>11112</v>
      </c>
      <c r="B1114" t="s">
        <v>127</v>
      </c>
      <c r="C1114" t="s">
        <v>609</v>
      </c>
      <c r="D1114" t="s">
        <v>622</v>
      </c>
      <c r="E1114" t="s">
        <v>628</v>
      </c>
      <c r="F1114" t="s">
        <v>1677</v>
      </c>
      <c r="G1114" t="s">
        <v>1762</v>
      </c>
      <c r="H1114" t="s">
        <v>1767</v>
      </c>
      <c r="I1114" t="s">
        <v>1774</v>
      </c>
      <c r="J1114" t="s">
        <v>1776</v>
      </c>
      <c r="K1114">
        <v>2</v>
      </c>
      <c r="L1114" s="2">
        <v>184</v>
      </c>
      <c r="M1114">
        <v>0.15</v>
      </c>
      <c r="N1114" s="2">
        <v>93.51</v>
      </c>
      <c r="O1114" s="2">
        <v>312.8</v>
      </c>
      <c r="P1114" s="2">
        <v>187.02</v>
      </c>
      <c r="Q1114" s="2">
        <v>125.78</v>
      </c>
      <c r="R1114">
        <v>0</v>
      </c>
      <c r="S1114" s="2" t="str">
        <f>TEXT(data[[#This Row],[Date]],"mmm yyyy")</f>
        <v>Apr 2025</v>
      </c>
      <c r="T1114" s="8">
        <f>data[[#This Row],[Profit]]/data[[#This Row],[Revenue]]</f>
        <v>0.40210997442455243</v>
      </c>
    </row>
    <row r="1115" spans="1:20" x14ac:dyDescent="0.3">
      <c r="A1115">
        <v>11113</v>
      </c>
      <c r="B1115" t="s">
        <v>408</v>
      </c>
      <c r="C1115" t="s">
        <v>607</v>
      </c>
      <c r="D1115" t="s">
        <v>617</v>
      </c>
      <c r="E1115" t="s">
        <v>628</v>
      </c>
      <c r="F1115" t="s">
        <v>1678</v>
      </c>
      <c r="G1115" t="s">
        <v>1760</v>
      </c>
      <c r="H1115" t="s">
        <v>1768</v>
      </c>
      <c r="I1115" t="s">
        <v>1773</v>
      </c>
      <c r="J1115" t="s">
        <v>1777</v>
      </c>
      <c r="K1115">
        <v>12</v>
      </c>
      <c r="L1115" s="2">
        <v>826</v>
      </c>
      <c r="M1115">
        <v>0.1</v>
      </c>
      <c r="N1115" s="2">
        <v>556</v>
      </c>
      <c r="O1115" s="2">
        <v>8920.7999999999993</v>
      </c>
      <c r="P1115" s="2">
        <v>6672</v>
      </c>
      <c r="Q1115" s="2">
        <v>2248.8000000000002</v>
      </c>
      <c r="R1115">
        <v>1</v>
      </c>
      <c r="S1115" s="2" t="str">
        <f>TEXT(data[[#This Row],[Date]],"mmm yyyy")</f>
        <v>Feb 2025</v>
      </c>
      <c r="T1115" s="8">
        <f>data[[#This Row],[Profit]]/data[[#This Row],[Revenue]]</f>
        <v>0.25208501479687923</v>
      </c>
    </row>
    <row r="1116" spans="1:20" x14ac:dyDescent="0.3">
      <c r="A1116">
        <v>11114</v>
      </c>
      <c r="B1116" t="s">
        <v>433</v>
      </c>
      <c r="C1116" t="s">
        <v>609</v>
      </c>
      <c r="D1116" t="s">
        <v>622</v>
      </c>
      <c r="E1116" t="s">
        <v>627</v>
      </c>
      <c r="F1116" t="s">
        <v>1679</v>
      </c>
      <c r="G1116" t="s">
        <v>1764</v>
      </c>
      <c r="H1116" t="s">
        <v>1771</v>
      </c>
      <c r="I1116" t="s">
        <v>1775</v>
      </c>
      <c r="J1116" t="s">
        <v>1777</v>
      </c>
      <c r="K1116">
        <v>5</v>
      </c>
      <c r="L1116" s="2">
        <v>460</v>
      </c>
      <c r="M1116">
        <v>0</v>
      </c>
      <c r="N1116" s="2">
        <v>318.5</v>
      </c>
      <c r="O1116" s="2">
        <v>2300</v>
      </c>
      <c r="P1116" s="2">
        <v>1592.5</v>
      </c>
      <c r="Q1116" s="2">
        <v>707.5</v>
      </c>
      <c r="R1116">
        <v>1</v>
      </c>
      <c r="S1116" s="2" t="str">
        <f>TEXT(data[[#This Row],[Date]],"mmm yyyy")</f>
        <v>Aug 2024</v>
      </c>
      <c r="T1116" s="8">
        <f>data[[#This Row],[Profit]]/data[[#This Row],[Revenue]]</f>
        <v>0.30760869565217391</v>
      </c>
    </row>
    <row r="1117" spans="1:20" x14ac:dyDescent="0.3">
      <c r="A1117">
        <v>11115</v>
      </c>
      <c r="B1117" t="s">
        <v>525</v>
      </c>
      <c r="C1117" t="s">
        <v>607</v>
      </c>
      <c r="D1117" t="s">
        <v>624</v>
      </c>
      <c r="E1117" t="s">
        <v>626</v>
      </c>
      <c r="F1117" t="s">
        <v>1680</v>
      </c>
      <c r="G1117" t="s">
        <v>1765</v>
      </c>
      <c r="H1117" t="s">
        <v>1767</v>
      </c>
      <c r="I1117" t="s">
        <v>1773</v>
      </c>
      <c r="J1117" t="s">
        <v>1778</v>
      </c>
      <c r="K1117">
        <v>19</v>
      </c>
      <c r="L1117" s="2">
        <v>153</v>
      </c>
      <c r="M1117">
        <v>0.05</v>
      </c>
      <c r="N1117" s="2">
        <v>89.78</v>
      </c>
      <c r="O1117" s="2">
        <v>2761.65</v>
      </c>
      <c r="P1117" s="2">
        <v>1705.82</v>
      </c>
      <c r="Q1117" s="2">
        <v>1055.83</v>
      </c>
      <c r="R1117">
        <v>1</v>
      </c>
      <c r="S1117" s="2" t="str">
        <f>TEXT(data[[#This Row],[Date]],"mmm yyyy")</f>
        <v>Feb 2025</v>
      </c>
      <c r="T1117" s="8">
        <f>data[[#This Row],[Profit]]/data[[#This Row],[Revenue]]</f>
        <v>0.38231854145166833</v>
      </c>
    </row>
    <row r="1118" spans="1:20" x14ac:dyDescent="0.3">
      <c r="A1118">
        <v>11116</v>
      </c>
      <c r="B1118" t="s">
        <v>469</v>
      </c>
      <c r="C1118" t="s">
        <v>608</v>
      </c>
      <c r="D1118" t="s">
        <v>615</v>
      </c>
      <c r="E1118" t="s">
        <v>628</v>
      </c>
      <c r="F1118" t="s">
        <v>1310</v>
      </c>
      <c r="G1118" t="s">
        <v>1763</v>
      </c>
      <c r="H1118" t="s">
        <v>1769</v>
      </c>
      <c r="I1118" t="s">
        <v>1774</v>
      </c>
      <c r="J1118" t="s">
        <v>1778</v>
      </c>
      <c r="K1118">
        <v>15</v>
      </c>
      <c r="L1118" s="2">
        <v>259</v>
      </c>
      <c r="M1118">
        <v>0.15</v>
      </c>
      <c r="N1118" s="2">
        <v>176.06</v>
      </c>
      <c r="O1118" s="2">
        <v>3302.25</v>
      </c>
      <c r="P1118" s="2">
        <v>2640.9</v>
      </c>
      <c r="Q1118" s="2">
        <v>661.35</v>
      </c>
      <c r="R1118">
        <v>0</v>
      </c>
      <c r="S1118" s="2" t="str">
        <f>TEXT(data[[#This Row],[Date]],"mmm yyyy")</f>
        <v>Apr 2025</v>
      </c>
      <c r="T1118" s="8">
        <f>data[[#This Row],[Profit]]/data[[#This Row],[Revenue]]</f>
        <v>0.20027254144901205</v>
      </c>
    </row>
    <row r="1119" spans="1:20" x14ac:dyDescent="0.3">
      <c r="A1119">
        <v>11117</v>
      </c>
      <c r="B1119" t="s">
        <v>119</v>
      </c>
      <c r="C1119" t="s">
        <v>608</v>
      </c>
      <c r="D1119" t="s">
        <v>615</v>
      </c>
      <c r="E1119" t="s">
        <v>628</v>
      </c>
      <c r="F1119" t="s">
        <v>1681</v>
      </c>
      <c r="G1119" t="s">
        <v>1760</v>
      </c>
      <c r="H1119" t="s">
        <v>1770</v>
      </c>
      <c r="I1119" t="s">
        <v>1773</v>
      </c>
      <c r="J1119" t="s">
        <v>1779</v>
      </c>
      <c r="K1119">
        <v>19</v>
      </c>
      <c r="L1119" s="2">
        <v>462</v>
      </c>
      <c r="M1119">
        <v>0.1</v>
      </c>
      <c r="N1119" s="2">
        <v>329.79</v>
      </c>
      <c r="O1119" s="2">
        <v>7900.2</v>
      </c>
      <c r="P1119" s="2">
        <v>6266.01</v>
      </c>
      <c r="Q1119" s="2">
        <v>1634.19</v>
      </c>
      <c r="R1119">
        <v>0</v>
      </c>
      <c r="S1119" s="2" t="str">
        <f>TEXT(data[[#This Row],[Date]],"mmm yyyy")</f>
        <v>Oct 2024</v>
      </c>
      <c r="T1119" s="8">
        <f>data[[#This Row],[Profit]]/data[[#This Row],[Revenue]]</f>
        <v>0.20685425685425687</v>
      </c>
    </row>
    <row r="1120" spans="1:20" x14ac:dyDescent="0.3">
      <c r="A1120">
        <v>11118</v>
      </c>
      <c r="B1120" t="s">
        <v>518</v>
      </c>
      <c r="C1120" t="s">
        <v>609</v>
      </c>
      <c r="D1120" t="s">
        <v>623</v>
      </c>
      <c r="E1120" t="s">
        <v>628</v>
      </c>
      <c r="F1120" t="s">
        <v>1682</v>
      </c>
      <c r="G1120" t="s">
        <v>1762</v>
      </c>
      <c r="H1120" t="s">
        <v>1767</v>
      </c>
      <c r="I1120" t="s">
        <v>1773</v>
      </c>
      <c r="J1120" t="s">
        <v>1779</v>
      </c>
      <c r="K1120">
        <v>17</v>
      </c>
      <c r="L1120" s="2">
        <v>198</v>
      </c>
      <c r="M1120">
        <v>0.1</v>
      </c>
      <c r="N1120" s="2">
        <v>133.28</v>
      </c>
      <c r="O1120" s="2">
        <v>3029.4</v>
      </c>
      <c r="P1120" s="2">
        <v>2265.7600000000002</v>
      </c>
      <c r="Q1120" s="2">
        <v>763.64</v>
      </c>
      <c r="R1120">
        <v>1</v>
      </c>
      <c r="S1120" s="2" t="str">
        <f>TEXT(data[[#This Row],[Date]],"mmm yyyy")</f>
        <v>Jun 2025</v>
      </c>
      <c r="T1120" s="8">
        <f>data[[#This Row],[Profit]]/data[[#This Row],[Revenue]]</f>
        <v>0.25207631874298542</v>
      </c>
    </row>
    <row r="1121" spans="1:20" x14ac:dyDescent="0.3">
      <c r="A1121">
        <v>11119</v>
      </c>
      <c r="B1121" t="s">
        <v>341</v>
      </c>
      <c r="C1121" t="s">
        <v>608</v>
      </c>
      <c r="D1121" t="s">
        <v>618</v>
      </c>
      <c r="E1121" t="s">
        <v>627</v>
      </c>
      <c r="F1121" t="s">
        <v>1683</v>
      </c>
      <c r="G1121" t="s">
        <v>1761</v>
      </c>
      <c r="H1121" t="s">
        <v>1772</v>
      </c>
      <c r="I1121" t="s">
        <v>1775</v>
      </c>
      <c r="J1121" t="s">
        <v>1778</v>
      </c>
      <c r="K1121">
        <v>8</v>
      </c>
      <c r="L1121" s="2">
        <v>793</v>
      </c>
      <c r="M1121">
        <v>0</v>
      </c>
      <c r="N1121" s="2">
        <v>479.77</v>
      </c>
      <c r="O1121" s="2">
        <v>6344</v>
      </c>
      <c r="P1121" s="2">
        <v>3838.16</v>
      </c>
      <c r="Q1121" s="2">
        <v>2505.84</v>
      </c>
      <c r="R1121">
        <v>0</v>
      </c>
      <c r="S1121" s="2" t="str">
        <f>TEXT(data[[#This Row],[Date]],"mmm yyyy")</f>
        <v>May 2024</v>
      </c>
      <c r="T1121" s="8">
        <f>data[[#This Row],[Profit]]/data[[#This Row],[Revenue]]</f>
        <v>0.39499369482976043</v>
      </c>
    </row>
    <row r="1122" spans="1:20" x14ac:dyDescent="0.3">
      <c r="A1122">
        <v>11120</v>
      </c>
      <c r="B1122" t="s">
        <v>590</v>
      </c>
      <c r="C1122" t="s">
        <v>606</v>
      </c>
      <c r="D1122" t="s">
        <v>610</v>
      </c>
      <c r="E1122" t="s">
        <v>627</v>
      </c>
      <c r="F1122" t="s">
        <v>1684</v>
      </c>
      <c r="G1122" t="s">
        <v>1766</v>
      </c>
      <c r="H1122" t="s">
        <v>1768</v>
      </c>
      <c r="I1122" t="s">
        <v>1774</v>
      </c>
      <c r="J1122" t="s">
        <v>1778</v>
      </c>
      <c r="K1122">
        <v>19</v>
      </c>
      <c r="L1122" s="2">
        <v>1334</v>
      </c>
      <c r="M1122">
        <v>0.15</v>
      </c>
      <c r="N1122" s="2">
        <v>718.93</v>
      </c>
      <c r="O1122" s="2">
        <v>21544.1</v>
      </c>
      <c r="P1122" s="2">
        <v>13659.67</v>
      </c>
      <c r="Q1122" s="2">
        <v>7884.43</v>
      </c>
      <c r="R1122">
        <v>0</v>
      </c>
      <c r="S1122" s="2" t="str">
        <f>TEXT(data[[#This Row],[Date]],"mmm yyyy")</f>
        <v>Dec 2025</v>
      </c>
      <c r="T1122" s="8">
        <f>data[[#This Row],[Profit]]/data[[#This Row],[Revenue]]</f>
        <v>0.36596701649175417</v>
      </c>
    </row>
    <row r="1123" spans="1:20" x14ac:dyDescent="0.3">
      <c r="A1123">
        <v>11121</v>
      </c>
      <c r="B1123" t="s">
        <v>33</v>
      </c>
      <c r="C1123" t="s">
        <v>607</v>
      </c>
      <c r="D1123" t="s">
        <v>621</v>
      </c>
      <c r="E1123" t="s">
        <v>626</v>
      </c>
      <c r="F1123" t="s">
        <v>1685</v>
      </c>
      <c r="G1123" t="s">
        <v>1760</v>
      </c>
      <c r="H1123" t="s">
        <v>1770</v>
      </c>
      <c r="I1123" t="s">
        <v>1773</v>
      </c>
      <c r="J1123" t="s">
        <v>1778</v>
      </c>
      <c r="K1123">
        <v>4</v>
      </c>
      <c r="L1123" s="2">
        <v>596</v>
      </c>
      <c r="M1123">
        <v>0.05</v>
      </c>
      <c r="N1123" s="2">
        <v>392.29</v>
      </c>
      <c r="O1123" s="2">
        <v>2264.8000000000002</v>
      </c>
      <c r="P1123" s="2">
        <v>1569.16</v>
      </c>
      <c r="Q1123" s="2">
        <v>695.64</v>
      </c>
      <c r="R1123">
        <v>1</v>
      </c>
      <c r="S1123" s="2" t="str">
        <f>TEXT(data[[#This Row],[Date]],"mmm yyyy")</f>
        <v>Apr 2025</v>
      </c>
      <c r="T1123" s="8">
        <f>data[[#This Row],[Profit]]/data[[#This Row],[Revenue]]</f>
        <v>0.30715294948781346</v>
      </c>
    </row>
    <row r="1124" spans="1:20" x14ac:dyDescent="0.3">
      <c r="A1124">
        <v>11122</v>
      </c>
      <c r="B1124" t="s">
        <v>394</v>
      </c>
      <c r="C1124" t="s">
        <v>609</v>
      </c>
      <c r="D1124" t="s">
        <v>623</v>
      </c>
      <c r="E1124" t="s">
        <v>629</v>
      </c>
      <c r="F1124" t="s">
        <v>1686</v>
      </c>
      <c r="G1124" t="s">
        <v>1760</v>
      </c>
      <c r="H1124" t="s">
        <v>1771</v>
      </c>
      <c r="I1124" t="s">
        <v>1773</v>
      </c>
      <c r="J1124" t="s">
        <v>1779</v>
      </c>
      <c r="K1124">
        <v>4</v>
      </c>
      <c r="L1124" s="2">
        <v>300</v>
      </c>
      <c r="M1124">
        <v>0.2</v>
      </c>
      <c r="N1124" s="2">
        <v>224.77</v>
      </c>
      <c r="O1124" s="2">
        <v>960</v>
      </c>
      <c r="P1124" s="2">
        <v>899.08</v>
      </c>
      <c r="Q1124" s="2">
        <v>60.92</v>
      </c>
      <c r="R1124">
        <v>0</v>
      </c>
      <c r="S1124" s="2" t="str">
        <f>TEXT(data[[#This Row],[Date]],"mmm yyyy")</f>
        <v>Oct 2025</v>
      </c>
      <c r="T1124" s="8">
        <f>data[[#This Row],[Profit]]/data[[#This Row],[Revenue]]</f>
        <v>6.3458333333333339E-2</v>
      </c>
    </row>
    <row r="1125" spans="1:20" x14ac:dyDescent="0.3">
      <c r="A1125">
        <v>11123</v>
      </c>
      <c r="B1125" t="s">
        <v>495</v>
      </c>
      <c r="C1125" t="s">
        <v>607</v>
      </c>
      <c r="D1125" t="s">
        <v>617</v>
      </c>
      <c r="E1125" t="s">
        <v>627</v>
      </c>
      <c r="F1125" t="s">
        <v>1687</v>
      </c>
      <c r="G1125" t="s">
        <v>1766</v>
      </c>
      <c r="H1125" t="s">
        <v>1769</v>
      </c>
      <c r="I1125" t="s">
        <v>1775</v>
      </c>
      <c r="J1125" t="s">
        <v>1779</v>
      </c>
      <c r="K1125">
        <v>12</v>
      </c>
      <c r="L1125" s="2">
        <v>168</v>
      </c>
      <c r="M1125">
        <v>0.2</v>
      </c>
      <c r="N1125" s="2">
        <v>114</v>
      </c>
      <c r="O1125" s="2">
        <v>1612.8</v>
      </c>
      <c r="P1125" s="2">
        <v>1368</v>
      </c>
      <c r="Q1125" s="2">
        <v>244.8</v>
      </c>
      <c r="R1125">
        <v>0</v>
      </c>
      <c r="S1125" s="2" t="str">
        <f>TEXT(data[[#This Row],[Date]],"mmm yyyy")</f>
        <v>Apr 2024</v>
      </c>
      <c r="T1125" s="8">
        <f>data[[#This Row],[Profit]]/data[[#This Row],[Revenue]]</f>
        <v>0.1517857142857143</v>
      </c>
    </row>
    <row r="1126" spans="1:20" x14ac:dyDescent="0.3">
      <c r="A1126">
        <v>11124</v>
      </c>
      <c r="B1126" t="s">
        <v>111</v>
      </c>
      <c r="C1126" t="s">
        <v>608</v>
      </c>
      <c r="D1126" t="s">
        <v>614</v>
      </c>
      <c r="E1126" t="s">
        <v>627</v>
      </c>
      <c r="F1126" t="s">
        <v>1688</v>
      </c>
      <c r="G1126" t="s">
        <v>1765</v>
      </c>
      <c r="H1126" t="s">
        <v>1772</v>
      </c>
      <c r="I1126" t="s">
        <v>1775</v>
      </c>
      <c r="J1126" t="s">
        <v>1776</v>
      </c>
      <c r="K1126">
        <v>12</v>
      </c>
      <c r="L1126" s="2">
        <v>972</v>
      </c>
      <c r="M1126">
        <v>0.15</v>
      </c>
      <c r="N1126" s="2">
        <v>565.46</v>
      </c>
      <c r="O1126" s="2">
        <v>9914.4</v>
      </c>
      <c r="P1126" s="2">
        <v>6785.52</v>
      </c>
      <c r="Q1126" s="2">
        <v>3128.88</v>
      </c>
      <c r="R1126">
        <v>0</v>
      </c>
      <c r="S1126" s="2" t="str">
        <f>TEXT(data[[#This Row],[Date]],"mmm yyyy")</f>
        <v>Dec 2024</v>
      </c>
      <c r="T1126" s="8">
        <f>data[[#This Row],[Profit]]/data[[#This Row],[Revenue]]</f>
        <v>0.31558944565480518</v>
      </c>
    </row>
    <row r="1127" spans="1:20" x14ac:dyDescent="0.3">
      <c r="A1127">
        <v>11125</v>
      </c>
      <c r="B1127" t="s">
        <v>448</v>
      </c>
      <c r="C1127" t="s">
        <v>607</v>
      </c>
      <c r="D1127" t="s">
        <v>611</v>
      </c>
      <c r="E1127" t="s">
        <v>626</v>
      </c>
      <c r="F1127" t="s">
        <v>1689</v>
      </c>
      <c r="G1127" t="s">
        <v>1766</v>
      </c>
      <c r="H1127" t="s">
        <v>1768</v>
      </c>
      <c r="I1127" t="s">
        <v>1773</v>
      </c>
      <c r="J1127" t="s">
        <v>1777</v>
      </c>
      <c r="K1127">
        <v>19</v>
      </c>
      <c r="L1127" s="2">
        <v>975</v>
      </c>
      <c r="M1127">
        <v>0</v>
      </c>
      <c r="N1127" s="2">
        <v>699.12</v>
      </c>
      <c r="O1127" s="2">
        <v>18525</v>
      </c>
      <c r="P1127" s="2">
        <v>13283.28</v>
      </c>
      <c r="Q1127" s="2">
        <v>5241.72</v>
      </c>
      <c r="R1127">
        <v>0</v>
      </c>
      <c r="S1127" s="2" t="str">
        <f>TEXT(data[[#This Row],[Date]],"mmm yyyy")</f>
        <v>Mar 2024</v>
      </c>
      <c r="T1127" s="8">
        <f>data[[#This Row],[Profit]]/data[[#This Row],[Revenue]]</f>
        <v>0.28295384615384617</v>
      </c>
    </row>
    <row r="1128" spans="1:20" x14ac:dyDescent="0.3">
      <c r="A1128">
        <v>11126</v>
      </c>
      <c r="B1128" t="s">
        <v>591</v>
      </c>
      <c r="C1128" t="s">
        <v>608</v>
      </c>
      <c r="D1128" t="s">
        <v>615</v>
      </c>
      <c r="E1128" t="s">
        <v>627</v>
      </c>
      <c r="F1128" t="s">
        <v>1690</v>
      </c>
      <c r="G1128" t="s">
        <v>1760</v>
      </c>
      <c r="H1128" t="s">
        <v>1769</v>
      </c>
      <c r="I1128" t="s">
        <v>1775</v>
      </c>
      <c r="J1128" t="s">
        <v>1776</v>
      </c>
      <c r="K1128">
        <v>5</v>
      </c>
      <c r="L1128" s="2">
        <v>424</v>
      </c>
      <c r="M1128">
        <v>0.1</v>
      </c>
      <c r="N1128" s="2">
        <v>235.27</v>
      </c>
      <c r="O1128" s="2">
        <v>1908</v>
      </c>
      <c r="P1128" s="2">
        <v>1176.3499999999999</v>
      </c>
      <c r="Q1128" s="2">
        <v>731.65</v>
      </c>
      <c r="R1128">
        <v>1</v>
      </c>
      <c r="S1128" s="2" t="str">
        <f>TEXT(data[[#This Row],[Date]],"mmm yyyy")</f>
        <v>Mar 2024</v>
      </c>
      <c r="T1128" s="8">
        <f>data[[#This Row],[Profit]]/data[[#This Row],[Revenue]]</f>
        <v>0.38346436058700206</v>
      </c>
    </row>
    <row r="1129" spans="1:20" x14ac:dyDescent="0.3">
      <c r="A1129">
        <v>11127</v>
      </c>
      <c r="B1129" t="s">
        <v>391</v>
      </c>
      <c r="C1129" t="s">
        <v>609</v>
      </c>
      <c r="D1129" t="s">
        <v>622</v>
      </c>
      <c r="E1129" t="s">
        <v>626</v>
      </c>
      <c r="F1129" t="s">
        <v>1691</v>
      </c>
      <c r="G1129" t="s">
        <v>1762</v>
      </c>
      <c r="H1129" t="s">
        <v>1768</v>
      </c>
      <c r="I1129" t="s">
        <v>1773</v>
      </c>
      <c r="J1129" t="s">
        <v>1778</v>
      </c>
      <c r="K1129">
        <v>11</v>
      </c>
      <c r="L1129" s="2">
        <v>1349</v>
      </c>
      <c r="M1129">
        <v>0.15</v>
      </c>
      <c r="N1129" s="2">
        <v>932.77</v>
      </c>
      <c r="O1129" s="2">
        <v>12613.15</v>
      </c>
      <c r="P1129" s="2">
        <v>10260.469999999999</v>
      </c>
      <c r="Q1129" s="2">
        <v>2352.6799999999998</v>
      </c>
      <c r="R1129">
        <v>1</v>
      </c>
      <c r="S1129" s="2" t="str">
        <f>TEXT(data[[#This Row],[Date]],"mmm yyyy")</f>
        <v>May 2025</v>
      </c>
      <c r="T1129" s="8">
        <f>data[[#This Row],[Profit]]/data[[#This Row],[Revenue]]</f>
        <v>0.18652596694719401</v>
      </c>
    </row>
    <row r="1130" spans="1:20" x14ac:dyDescent="0.3">
      <c r="A1130">
        <v>11128</v>
      </c>
      <c r="B1130" t="s">
        <v>110</v>
      </c>
      <c r="C1130" t="s">
        <v>608</v>
      </c>
      <c r="D1130" t="s">
        <v>615</v>
      </c>
      <c r="E1130" t="s">
        <v>628</v>
      </c>
      <c r="F1130" t="s">
        <v>1692</v>
      </c>
      <c r="G1130" t="s">
        <v>1763</v>
      </c>
      <c r="H1130" t="s">
        <v>1772</v>
      </c>
      <c r="I1130" t="s">
        <v>1773</v>
      </c>
      <c r="J1130" t="s">
        <v>1777</v>
      </c>
      <c r="K1130">
        <v>14</v>
      </c>
      <c r="L1130" s="2">
        <v>947</v>
      </c>
      <c r="M1130">
        <v>0.1</v>
      </c>
      <c r="N1130" s="2">
        <v>540.39</v>
      </c>
      <c r="O1130" s="2">
        <v>11932.2</v>
      </c>
      <c r="P1130" s="2">
        <v>7565.46</v>
      </c>
      <c r="Q1130" s="2">
        <v>4366.74</v>
      </c>
      <c r="R1130">
        <v>0</v>
      </c>
      <c r="S1130" s="2" t="str">
        <f>TEXT(data[[#This Row],[Date]],"mmm yyyy")</f>
        <v>Jan 2024</v>
      </c>
      <c r="T1130" s="8">
        <f>data[[#This Row],[Profit]]/data[[#This Row],[Revenue]]</f>
        <v>0.36596268919394576</v>
      </c>
    </row>
    <row r="1131" spans="1:20" x14ac:dyDescent="0.3">
      <c r="A1131">
        <v>11129</v>
      </c>
      <c r="B1131" t="s">
        <v>452</v>
      </c>
      <c r="C1131" t="s">
        <v>609</v>
      </c>
      <c r="D1131" t="s">
        <v>622</v>
      </c>
      <c r="E1131" t="s">
        <v>627</v>
      </c>
      <c r="F1131" t="s">
        <v>1693</v>
      </c>
      <c r="G1131" t="s">
        <v>1764</v>
      </c>
      <c r="H1131" t="s">
        <v>1768</v>
      </c>
      <c r="I1131" t="s">
        <v>1774</v>
      </c>
      <c r="J1131" t="s">
        <v>1779</v>
      </c>
      <c r="K1131">
        <v>6</v>
      </c>
      <c r="L1131" s="2">
        <v>1141</v>
      </c>
      <c r="M1131">
        <v>0.2</v>
      </c>
      <c r="N1131" s="2">
        <v>622.23</v>
      </c>
      <c r="O1131" s="2">
        <v>5476.8</v>
      </c>
      <c r="P1131" s="2">
        <v>3733.38</v>
      </c>
      <c r="Q1131" s="2">
        <v>1743.42</v>
      </c>
      <c r="R1131">
        <v>1</v>
      </c>
      <c r="S1131" s="2" t="str">
        <f>TEXT(data[[#This Row],[Date]],"mmm yyyy")</f>
        <v>Jul 2025</v>
      </c>
      <c r="T1131" s="8">
        <f>data[[#This Row],[Profit]]/data[[#This Row],[Revenue]]</f>
        <v>0.31832822085889573</v>
      </c>
    </row>
    <row r="1132" spans="1:20" x14ac:dyDescent="0.3">
      <c r="A1132">
        <v>11130</v>
      </c>
      <c r="B1132" t="s">
        <v>592</v>
      </c>
      <c r="C1132" t="s">
        <v>606</v>
      </c>
      <c r="D1132" t="s">
        <v>610</v>
      </c>
      <c r="E1132" t="s">
        <v>628</v>
      </c>
      <c r="F1132" t="s">
        <v>1694</v>
      </c>
      <c r="G1132" t="s">
        <v>1763</v>
      </c>
      <c r="H1132" t="s">
        <v>1771</v>
      </c>
      <c r="I1132" t="s">
        <v>1775</v>
      </c>
      <c r="J1132" t="s">
        <v>1779</v>
      </c>
      <c r="K1132">
        <v>15</v>
      </c>
      <c r="L1132" s="2">
        <v>699</v>
      </c>
      <c r="M1132">
        <v>0.2</v>
      </c>
      <c r="N1132" s="2">
        <v>382.49</v>
      </c>
      <c r="O1132" s="2">
        <v>8388</v>
      </c>
      <c r="P1132" s="2">
        <v>5737.35</v>
      </c>
      <c r="Q1132" s="2">
        <v>2650.65</v>
      </c>
      <c r="R1132">
        <v>0</v>
      </c>
      <c r="S1132" s="2" t="str">
        <f>TEXT(data[[#This Row],[Date]],"mmm yyyy")</f>
        <v>Oct 2024</v>
      </c>
      <c r="T1132" s="8">
        <f>data[[#This Row],[Profit]]/data[[#This Row],[Revenue]]</f>
        <v>0.31600500715307583</v>
      </c>
    </row>
    <row r="1133" spans="1:20" x14ac:dyDescent="0.3">
      <c r="A1133">
        <v>11131</v>
      </c>
      <c r="B1133" t="s">
        <v>287</v>
      </c>
      <c r="C1133" t="s">
        <v>608</v>
      </c>
      <c r="D1133" t="s">
        <v>614</v>
      </c>
      <c r="E1133" t="s">
        <v>627</v>
      </c>
      <c r="F1133" t="s">
        <v>1695</v>
      </c>
      <c r="G1133" t="s">
        <v>1759</v>
      </c>
      <c r="H1133" t="s">
        <v>1769</v>
      </c>
      <c r="I1133" t="s">
        <v>1775</v>
      </c>
      <c r="J1133" t="s">
        <v>1776</v>
      </c>
      <c r="K1133">
        <v>12</v>
      </c>
      <c r="L1133" s="2">
        <v>485</v>
      </c>
      <c r="M1133">
        <v>0.2</v>
      </c>
      <c r="N1133" s="2">
        <v>254.31</v>
      </c>
      <c r="O1133" s="2">
        <v>4656</v>
      </c>
      <c r="P1133" s="2">
        <v>3051.72</v>
      </c>
      <c r="Q1133" s="2">
        <v>1604.28</v>
      </c>
      <c r="R1133">
        <v>1</v>
      </c>
      <c r="S1133" s="2" t="str">
        <f>TEXT(data[[#This Row],[Date]],"mmm yyyy")</f>
        <v>Aug 2024</v>
      </c>
      <c r="T1133" s="8">
        <f>data[[#This Row],[Profit]]/data[[#This Row],[Revenue]]</f>
        <v>0.34456185567010311</v>
      </c>
    </row>
    <row r="1134" spans="1:20" x14ac:dyDescent="0.3">
      <c r="A1134">
        <v>11132</v>
      </c>
      <c r="B1134" t="s">
        <v>571</v>
      </c>
      <c r="C1134" t="s">
        <v>606</v>
      </c>
      <c r="D1134" t="s">
        <v>625</v>
      </c>
      <c r="E1134" t="s">
        <v>627</v>
      </c>
      <c r="F1134" t="s">
        <v>1696</v>
      </c>
      <c r="G1134" t="s">
        <v>1764</v>
      </c>
      <c r="H1134" t="s">
        <v>1769</v>
      </c>
      <c r="I1134" t="s">
        <v>1775</v>
      </c>
      <c r="J1134" t="s">
        <v>1778</v>
      </c>
      <c r="K1134">
        <v>2</v>
      </c>
      <c r="L1134" s="2">
        <v>291</v>
      </c>
      <c r="M1134">
        <v>0.15</v>
      </c>
      <c r="N1134" s="2">
        <v>181.64</v>
      </c>
      <c r="O1134" s="2">
        <v>494.7</v>
      </c>
      <c r="P1134" s="2">
        <v>363.28</v>
      </c>
      <c r="Q1134" s="2">
        <v>131.41999999999999</v>
      </c>
      <c r="R1134">
        <v>0</v>
      </c>
      <c r="S1134" s="2" t="str">
        <f>TEXT(data[[#This Row],[Date]],"mmm yyyy")</f>
        <v>Apr 2024</v>
      </c>
      <c r="T1134" s="8">
        <f>data[[#This Row],[Profit]]/data[[#This Row],[Revenue]]</f>
        <v>0.26565595310289064</v>
      </c>
    </row>
    <row r="1135" spans="1:20" x14ac:dyDescent="0.3">
      <c r="A1135">
        <v>11133</v>
      </c>
      <c r="B1135" t="s">
        <v>486</v>
      </c>
      <c r="C1135" t="s">
        <v>609</v>
      </c>
      <c r="D1135" t="s">
        <v>613</v>
      </c>
      <c r="E1135" t="s">
        <v>629</v>
      </c>
      <c r="F1135" t="s">
        <v>1697</v>
      </c>
      <c r="G1135" t="s">
        <v>1759</v>
      </c>
      <c r="H1135" t="s">
        <v>1771</v>
      </c>
      <c r="I1135" t="s">
        <v>1773</v>
      </c>
      <c r="J1135" t="s">
        <v>1779</v>
      </c>
      <c r="K1135">
        <v>1</v>
      </c>
      <c r="L1135" s="2">
        <v>548</v>
      </c>
      <c r="M1135">
        <v>0</v>
      </c>
      <c r="N1135" s="2">
        <v>326.11</v>
      </c>
      <c r="O1135" s="2">
        <v>548</v>
      </c>
      <c r="P1135" s="2">
        <v>326.11</v>
      </c>
      <c r="Q1135" s="2">
        <v>221.89</v>
      </c>
      <c r="R1135">
        <v>0</v>
      </c>
      <c r="S1135" s="2" t="str">
        <f>TEXT(data[[#This Row],[Date]],"mmm yyyy")</f>
        <v>Mar 2025</v>
      </c>
      <c r="T1135" s="8">
        <f>data[[#This Row],[Profit]]/data[[#This Row],[Revenue]]</f>
        <v>0.40490875912408758</v>
      </c>
    </row>
    <row r="1136" spans="1:20" x14ac:dyDescent="0.3">
      <c r="A1136">
        <v>11134</v>
      </c>
      <c r="B1136" t="s">
        <v>593</v>
      </c>
      <c r="C1136" t="s">
        <v>608</v>
      </c>
      <c r="D1136" t="s">
        <v>615</v>
      </c>
      <c r="E1136" t="s">
        <v>629</v>
      </c>
      <c r="F1136" t="s">
        <v>1698</v>
      </c>
      <c r="G1136" t="s">
        <v>1759</v>
      </c>
      <c r="H1136" t="s">
        <v>1767</v>
      </c>
      <c r="I1136" t="s">
        <v>1774</v>
      </c>
      <c r="J1136" t="s">
        <v>1777</v>
      </c>
      <c r="K1136">
        <v>12</v>
      </c>
      <c r="L1136" s="2">
        <v>81</v>
      </c>
      <c r="M1136">
        <v>0.2</v>
      </c>
      <c r="N1136" s="2">
        <v>59.11</v>
      </c>
      <c r="O1136" s="2">
        <v>777.6</v>
      </c>
      <c r="P1136" s="2">
        <v>709.32</v>
      </c>
      <c r="Q1136" s="2">
        <v>68.28</v>
      </c>
      <c r="R1136">
        <v>0</v>
      </c>
      <c r="S1136" s="2" t="str">
        <f>TEXT(data[[#This Row],[Date]],"mmm yyyy")</f>
        <v>Jan 2025</v>
      </c>
      <c r="T1136" s="8">
        <f>data[[#This Row],[Profit]]/data[[#This Row],[Revenue]]</f>
        <v>8.7808641975308646E-2</v>
      </c>
    </row>
    <row r="1137" spans="1:20" x14ac:dyDescent="0.3">
      <c r="A1137">
        <v>11135</v>
      </c>
      <c r="B1137" t="s">
        <v>522</v>
      </c>
      <c r="C1137" t="s">
        <v>606</v>
      </c>
      <c r="D1137" t="s">
        <v>625</v>
      </c>
      <c r="E1137" t="s">
        <v>626</v>
      </c>
      <c r="F1137" t="s">
        <v>1699</v>
      </c>
      <c r="G1137" t="s">
        <v>1766</v>
      </c>
      <c r="H1137" t="s">
        <v>1771</v>
      </c>
      <c r="I1137" t="s">
        <v>1775</v>
      </c>
      <c r="J1137" t="s">
        <v>1778</v>
      </c>
      <c r="K1137">
        <v>5</v>
      </c>
      <c r="L1137" s="2">
        <v>464</v>
      </c>
      <c r="M1137">
        <v>0</v>
      </c>
      <c r="N1137" s="2">
        <v>316.98</v>
      </c>
      <c r="O1137" s="2">
        <v>2320</v>
      </c>
      <c r="P1137" s="2">
        <v>1584.9</v>
      </c>
      <c r="Q1137" s="2">
        <v>735.1</v>
      </c>
      <c r="R1137">
        <v>0</v>
      </c>
      <c r="S1137" s="2" t="str">
        <f>TEXT(data[[#This Row],[Date]],"mmm yyyy")</f>
        <v>May 2025</v>
      </c>
      <c r="T1137" s="8">
        <f>data[[#This Row],[Profit]]/data[[#This Row],[Revenue]]</f>
        <v>0.31685344827586209</v>
      </c>
    </row>
    <row r="1138" spans="1:20" x14ac:dyDescent="0.3">
      <c r="A1138">
        <v>11136</v>
      </c>
      <c r="B1138" t="s">
        <v>206</v>
      </c>
      <c r="C1138" t="s">
        <v>609</v>
      </c>
      <c r="D1138" t="s">
        <v>619</v>
      </c>
      <c r="E1138" t="s">
        <v>629</v>
      </c>
      <c r="F1138" t="s">
        <v>1099</v>
      </c>
      <c r="G1138" t="s">
        <v>1764</v>
      </c>
      <c r="H1138" t="s">
        <v>1767</v>
      </c>
      <c r="I1138" t="s">
        <v>1774</v>
      </c>
      <c r="J1138" t="s">
        <v>1776</v>
      </c>
      <c r="K1138">
        <v>17</v>
      </c>
      <c r="L1138" s="2">
        <v>274</v>
      </c>
      <c r="M1138">
        <v>0.2</v>
      </c>
      <c r="N1138" s="2">
        <v>204.07</v>
      </c>
      <c r="O1138" s="2">
        <v>3726.4</v>
      </c>
      <c r="P1138" s="2">
        <v>3469.19</v>
      </c>
      <c r="Q1138" s="2">
        <v>257.20999999999998</v>
      </c>
      <c r="R1138">
        <v>0</v>
      </c>
      <c r="S1138" s="2" t="str">
        <f>TEXT(data[[#This Row],[Date]],"mmm yyyy")</f>
        <v>Jan 2025</v>
      </c>
      <c r="T1138" s="8">
        <f>data[[#This Row],[Profit]]/data[[#This Row],[Revenue]]</f>
        <v>6.9023722627737219E-2</v>
      </c>
    </row>
    <row r="1139" spans="1:20" x14ac:dyDescent="0.3">
      <c r="A1139">
        <v>11137</v>
      </c>
      <c r="B1139" t="s">
        <v>242</v>
      </c>
      <c r="C1139" t="s">
        <v>606</v>
      </c>
      <c r="D1139" t="s">
        <v>616</v>
      </c>
      <c r="E1139" t="s">
        <v>626</v>
      </c>
      <c r="F1139" t="s">
        <v>1700</v>
      </c>
      <c r="G1139" t="s">
        <v>1763</v>
      </c>
      <c r="H1139" t="s">
        <v>1770</v>
      </c>
      <c r="I1139" t="s">
        <v>1775</v>
      </c>
      <c r="J1139" t="s">
        <v>1776</v>
      </c>
      <c r="K1139">
        <v>16</v>
      </c>
      <c r="L1139" s="2">
        <v>942</v>
      </c>
      <c r="M1139">
        <v>0.15</v>
      </c>
      <c r="N1139" s="2">
        <v>587.95000000000005</v>
      </c>
      <c r="O1139" s="2">
        <v>12811.2</v>
      </c>
      <c r="P1139" s="2">
        <v>9407.2000000000007</v>
      </c>
      <c r="Q1139" s="2">
        <v>3404</v>
      </c>
      <c r="R1139">
        <v>0</v>
      </c>
      <c r="S1139" s="2" t="str">
        <f>TEXT(data[[#This Row],[Date]],"mmm yyyy")</f>
        <v>Jul 2024</v>
      </c>
      <c r="T1139" s="8">
        <f>data[[#This Row],[Profit]]/data[[#This Row],[Revenue]]</f>
        <v>0.26570500811789682</v>
      </c>
    </row>
    <row r="1140" spans="1:20" x14ac:dyDescent="0.3">
      <c r="A1140">
        <v>11138</v>
      </c>
      <c r="B1140" t="s">
        <v>594</v>
      </c>
      <c r="C1140" t="s">
        <v>607</v>
      </c>
      <c r="D1140" t="s">
        <v>621</v>
      </c>
      <c r="E1140" t="s">
        <v>629</v>
      </c>
      <c r="F1140" t="s">
        <v>1701</v>
      </c>
      <c r="G1140" t="s">
        <v>1764</v>
      </c>
      <c r="H1140" t="s">
        <v>1771</v>
      </c>
      <c r="I1140" t="s">
        <v>1775</v>
      </c>
      <c r="J1140" t="s">
        <v>1776</v>
      </c>
      <c r="K1140">
        <v>8</v>
      </c>
      <c r="L1140" s="2">
        <v>629</v>
      </c>
      <c r="M1140">
        <v>0</v>
      </c>
      <c r="N1140" s="2">
        <v>468.47</v>
      </c>
      <c r="O1140" s="2">
        <v>5032</v>
      </c>
      <c r="P1140" s="2">
        <v>3747.76</v>
      </c>
      <c r="Q1140" s="2">
        <v>1284.24</v>
      </c>
      <c r="R1140">
        <v>0</v>
      </c>
      <c r="S1140" s="2" t="str">
        <f>TEXT(data[[#This Row],[Date]],"mmm yyyy")</f>
        <v>Nov 2024</v>
      </c>
      <c r="T1140" s="8">
        <f>data[[#This Row],[Profit]]/data[[#This Row],[Revenue]]</f>
        <v>0.25521462639109699</v>
      </c>
    </row>
    <row r="1141" spans="1:20" x14ac:dyDescent="0.3">
      <c r="A1141">
        <v>11139</v>
      </c>
      <c r="B1141" t="s">
        <v>595</v>
      </c>
      <c r="C1141" t="s">
        <v>606</v>
      </c>
      <c r="D1141" t="s">
        <v>610</v>
      </c>
      <c r="E1141" t="s">
        <v>629</v>
      </c>
      <c r="F1141" t="s">
        <v>1702</v>
      </c>
      <c r="G1141" t="s">
        <v>1760</v>
      </c>
      <c r="H1141" t="s">
        <v>1772</v>
      </c>
      <c r="I1141" t="s">
        <v>1775</v>
      </c>
      <c r="J1141" t="s">
        <v>1776</v>
      </c>
      <c r="K1141">
        <v>5</v>
      </c>
      <c r="L1141" s="2">
        <v>875</v>
      </c>
      <c r="M1141">
        <v>0.1</v>
      </c>
      <c r="N1141" s="2">
        <v>583.95000000000005</v>
      </c>
      <c r="O1141" s="2">
        <v>3937.5</v>
      </c>
      <c r="P1141" s="2">
        <v>2919.75</v>
      </c>
      <c r="Q1141" s="2">
        <v>1017.75</v>
      </c>
      <c r="R1141">
        <v>0</v>
      </c>
      <c r="S1141" s="2" t="str">
        <f>TEXT(data[[#This Row],[Date]],"mmm yyyy")</f>
        <v>Nov 2025</v>
      </c>
      <c r="T1141" s="8">
        <f>data[[#This Row],[Profit]]/data[[#This Row],[Revenue]]</f>
        <v>0.25847619047619047</v>
      </c>
    </row>
    <row r="1142" spans="1:20" x14ac:dyDescent="0.3">
      <c r="A1142">
        <v>11140</v>
      </c>
      <c r="B1142" t="s">
        <v>130</v>
      </c>
      <c r="C1142" t="s">
        <v>608</v>
      </c>
      <c r="D1142" t="s">
        <v>612</v>
      </c>
      <c r="E1142" t="s">
        <v>628</v>
      </c>
      <c r="F1142" t="s">
        <v>1703</v>
      </c>
      <c r="G1142" t="s">
        <v>1761</v>
      </c>
      <c r="H1142" t="s">
        <v>1768</v>
      </c>
      <c r="I1142" t="s">
        <v>1774</v>
      </c>
      <c r="J1142" t="s">
        <v>1777</v>
      </c>
      <c r="K1142">
        <v>8</v>
      </c>
      <c r="L1142" s="2">
        <v>1043</v>
      </c>
      <c r="M1142">
        <v>0</v>
      </c>
      <c r="N1142" s="2">
        <v>562.97</v>
      </c>
      <c r="O1142" s="2">
        <v>8344</v>
      </c>
      <c r="P1142" s="2">
        <v>4503.76</v>
      </c>
      <c r="Q1142" s="2">
        <v>3840.24</v>
      </c>
      <c r="R1142">
        <v>1</v>
      </c>
      <c r="S1142" s="2" t="str">
        <f>TEXT(data[[#This Row],[Date]],"mmm yyyy")</f>
        <v>Jan 2025</v>
      </c>
      <c r="T1142" s="8">
        <f>data[[#This Row],[Profit]]/data[[#This Row],[Revenue]]</f>
        <v>0.4602396931927133</v>
      </c>
    </row>
    <row r="1143" spans="1:20" x14ac:dyDescent="0.3">
      <c r="A1143">
        <v>11141</v>
      </c>
      <c r="B1143" t="s">
        <v>36</v>
      </c>
      <c r="C1143" t="s">
        <v>608</v>
      </c>
      <c r="D1143" t="s">
        <v>615</v>
      </c>
      <c r="E1143" t="s">
        <v>628</v>
      </c>
      <c r="F1143" t="s">
        <v>1704</v>
      </c>
      <c r="G1143" t="s">
        <v>1762</v>
      </c>
      <c r="H1143" t="s">
        <v>1772</v>
      </c>
      <c r="I1143" t="s">
        <v>1775</v>
      </c>
      <c r="J1143" t="s">
        <v>1777</v>
      </c>
      <c r="K1143">
        <v>19</v>
      </c>
      <c r="L1143" s="2">
        <v>644</v>
      </c>
      <c r="M1143">
        <v>0.1</v>
      </c>
      <c r="N1143" s="2">
        <v>456.51</v>
      </c>
      <c r="O1143" s="2">
        <v>11012.4</v>
      </c>
      <c r="P1143" s="2">
        <v>8673.69</v>
      </c>
      <c r="Q1143" s="2">
        <v>2338.71</v>
      </c>
      <c r="R1143">
        <v>1</v>
      </c>
      <c r="S1143" s="2" t="str">
        <f>TEXT(data[[#This Row],[Date]],"mmm yyyy")</f>
        <v>Mar 2025</v>
      </c>
      <c r="T1143" s="8">
        <f>data[[#This Row],[Profit]]/data[[#This Row],[Revenue]]</f>
        <v>0.21237060041407868</v>
      </c>
    </row>
    <row r="1144" spans="1:20" x14ac:dyDescent="0.3">
      <c r="A1144">
        <v>11142</v>
      </c>
      <c r="B1144" t="s">
        <v>453</v>
      </c>
      <c r="C1144" t="s">
        <v>606</v>
      </c>
      <c r="D1144" t="s">
        <v>625</v>
      </c>
      <c r="E1144" t="s">
        <v>628</v>
      </c>
      <c r="F1144" t="s">
        <v>1705</v>
      </c>
      <c r="G1144" t="s">
        <v>1764</v>
      </c>
      <c r="H1144" t="s">
        <v>1767</v>
      </c>
      <c r="I1144" t="s">
        <v>1775</v>
      </c>
      <c r="J1144" t="s">
        <v>1778</v>
      </c>
      <c r="K1144">
        <v>15</v>
      </c>
      <c r="L1144" s="2">
        <v>289</v>
      </c>
      <c r="M1144">
        <v>0</v>
      </c>
      <c r="N1144" s="2">
        <v>170.65</v>
      </c>
      <c r="O1144" s="2">
        <v>4335</v>
      </c>
      <c r="P1144" s="2">
        <v>2559.75</v>
      </c>
      <c r="Q1144" s="2">
        <v>1775.25</v>
      </c>
      <c r="R1144">
        <v>0</v>
      </c>
      <c r="S1144" s="2" t="str">
        <f>TEXT(data[[#This Row],[Date]],"mmm yyyy")</f>
        <v>Sep 2024</v>
      </c>
      <c r="T1144" s="8">
        <f>data[[#This Row],[Profit]]/data[[#This Row],[Revenue]]</f>
        <v>0.40951557093425606</v>
      </c>
    </row>
    <row r="1145" spans="1:20" x14ac:dyDescent="0.3">
      <c r="A1145">
        <v>11143</v>
      </c>
      <c r="B1145" t="s">
        <v>369</v>
      </c>
      <c r="C1145" t="s">
        <v>607</v>
      </c>
      <c r="D1145" t="s">
        <v>617</v>
      </c>
      <c r="E1145" t="s">
        <v>629</v>
      </c>
      <c r="F1145" t="s">
        <v>1706</v>
      </c>
      <c r="G1145" t="s">
        <v>1764</v>
      </c>
      <c r="H1145" t="s">
        <v>1770</v>
      </c>
      <c r="I1145" t="s">
        <v>1774</v>
      </c>
      <c r="J1145" t="s">
        <v>1778</v>
      </c>
      <c r="K1145">
        <v>2</v>
      </c>
      <c r="L1145" s="2">
        <v>495</v>
      </c>
      <c r="M1145">
        <v>0</v>
      </c>
      <c r="N1145" s="2">
        <v>332.88</v>
      </c>
      <c r="O1145" s="2">
        <v>990</v>
      </c>
      <c r="P1145" s="2">
        <v>665.76</v>
      </c>
      <c r="Q1145" s="2">
        <v>324.24</v>
      </c>
      <c r="R1145">
        <v>0</v>
      </c>
      <c r="S1145" s="2" t="str">
        <f>TEXT(data[[#This Row],[Date]],"mmm yyyy")</f>
        <v>Nov 2025</v>
      </c>
      <c r="T1145" s="8">
        <f>data[[#This Row],[Profit]]/data[[#This Row],[Revenue]]</f>
        <v>0.32751515151515154</v>
      </c>
    </row>
    <row r="1146" spans="1:20" x14ac:dyDescent="0.3">
      <c r="A1146">
        <v>11144</v>
      </c>
      <c r="B1146" t="s">
        <v>526</v>
      </c>
      <c r="C1146" t="s">
        <v>606</v>
      </c>
      <c r="D1146" t="s">
        <v>620</v>
      </c>
      <c r="E1146" t="s">
        <v>628</v>
      </c>
      <c r="F1146" t="s">
        <v>1707</v>
      </c>
      <c r="G1146" t="s">
        <v>1762</v>
      </c>
      <c r="H1146" t="s">
        <v>1767</v>
      </c>
      <c r="I1146" t="s">
        <v>1775</v>
      </c>
      <c r="J1146" t="s">
        <v>1778</v>
      </c>
      <c r="K1146">
        <v>12</v>
      </c>
      <c r="L1146" s="2">
        <v>118</v>
      </c>
      <c r="M1146">
        <v>0.15</v>
      </c>
      <c r="N1146" s="2">
        <v>61.98</v>
      </c>
      <c r="O1146" s="2">
        <v>1203.5999999999999</v>
      </c>
      <c r="P1146" s="2">
        <v>743.76</v>
      </c>
      <c r="Q1146" s="2">
        <v>459.84</v>
      </c>
      <c r="R1146">
        <v>1</v>
      </c>
      <c r="S1146" s="2" t="str">
        <f>TEXT(data[[#This Row],[Date]],"mmm yyyy")</f>
        <v>Mar 2025</v>
      </c>
      <c r="T1146" s="8">
        <f>data[[#This Row],[Profit]]/data[[#This Row],[Revenue]]</f>
        <v>0.38205383848454638</v>
      </c>
    </row>
    <row r="1147" spans="1:20" x14ac:dyDescent="0.3">
      <c r="A1147">
        <v>11145</v>
      </c>
      <c r="B1147" t="s">
        <v>363</v>
      </c>
      <c r="C1147" t="s">
        <v>609</v>
      </c>
      <c r="D1147" t="s">
        <v>619</v>
      </c>
      <c r="E1147" t="s">
        <v>626</v>
      </c>
      <c r="F1147" t="s">
        <v>1034</v>
      </c>
      <c r="G1147" t="s">
        <v>1766</v>
      </c>
      <c r="H1147" t="s">
        <v>1771</v>
      </c>
      <c r="I1147" t="s">
        <v>1773</v>
      </c>
      <c r="J1147" t="s">
        <v>1776</v>
      </c>
      <c r="K1147">
        <v>13</v>
      </c>
      <c r="L1147" s="2">
        <v>666</v>
      </c>
      <c r="M1147">
        <v>0.2</v>
      </c>
      <c r="N1147" s="2">
        <v>396.62</v>
      </c>
      <c r="O1147" s="2">
        <v>6926.4</v>
      </c>
      <c r="P1147" s="2">
        <v>5156.0600000000004</v>
      </c>
      <c r="Q1147" s="2">
        <v>1770.34</v>
      </c>
      <c r="R1147">
        <v>1</v>
      </c>
      <c r="S1147" s="2" t="str">
        <f>TEXT(data[[#This Row],[Date]],"mmm yyyy")</f>
        <v>Feb 2025</v>
      </c>
      <c r="T1147" s="8">
        <f>data[[#This Row],[Profit]]/data[[#This Row],[Revenue]]</f>
        <v>0.25559309309309308</v>
      </c>
    </row>
    <row r="1148" spans="1:20" x14ac:dyDescent="0.3">
      <c r="A1148">
        <v>11146</v>
      </c>
      <c r="B1148" t="s">
        <v>580</v>
      </c>
      <c r="C1148" t="s">
        <v>608</v>
      </c>
      <c r="D1148" t="s">
        <v>612</v>
      </c>
      <c r="E1148" t="s">
        <v>626</v>
      </c>
      <c r="F1148" t="s">
        <v>1708</v>
      </c>
      <c r="G1148" t="s">
        <v>1763</v>
      </c>
      <c r="H1148" t="s">
        <v>1768</v>
      </c>
      <c r="I1148" t="s">
        <v>1773</v>
      </c>
      <c r="J1148" t="s">
        <v>1779</v>
      </c>
      <c r="K1148">
        <v>6</v>
      </c>
      <c r="L1148" s="2">
        <v>955</v>
      </c>
      <c r="M1148">
        <v>0.15</v>
      </c>
      <c r="N1148" s="2">
        <v>564.29999999999995</v>
      </c>
      <c r="O1148" s="2">
        <v>4870.5</v>
      </c>
      <c r="P1148" s="2">
        <v>3385.8</v>
      </c>
      <c r="Q1148" s="2">
        <v>1484.7</v>
      </c>
      <c r="R1148">
        <v>1</v>
      </c>
      <c r="S1148" s="2" t="str">
        <f>TEXT(data[[#This Row],[Date]],"mmm yyyy")</f>
        <v>Oct 2025</v>
      </c>
      <c r="T1148" s="8">
        <f>data[[#This Row],[Profit]]/data[[#This Row],[Revenue]]</f>
        <v>0.3048352325223283</v>
      </c>
    </row>
    <row r="1149" spans="1:20" x14ac:dyDescent="0.3">
      <c r="A1149">
        <v>11147</v>
      </c>
      <c r="B1149" t="s">
        <v>458</v>
      </c>
      <c r="C1149" t="s">
        <v>606</v>
      </c>
      <c r="D1149" t="s">
        <v>620</v>
      </c>
      <c r="E1149" t="s">
        <v>628</v>
      </c>
      <c r="F1149" t="s">
        <v>1709</v>
      </c>
      <c r="G1149" t="s">
        <v>1764</v>
      </c>
      <c r="H1149" t="s">
        <v>1769</v>
      </c>
      <c r="I1149" t="s">
        <v>1775</v>
      </c>
      <c r="J1149" t="s">
        <v>1778</v>
      </c>
      <c r="K1149">
        <v>7</v>
      </c>
      <c r="L1149" s="2">
        <v>161</v>
      </c>
      <c r="M1149">
        <v>0.2</v>
      </c>
      <c r="N1149" s="2">
        <v>116.19</v>
      </c>
      <c r="O1149" s="2">
        <v>901.6</v>
      </c>
      <c r="P1149" s="2">
        <v>813.33</v>
      </c>
      <c r="Q1149" s="2">
        <v>88.27</v>
      </c>
      <c r="R1149">
        <v>1</v>
      </c>
      <c r="S1149" s="2" t="str">
        <f>TEXT(data[[#This Row],[Date]],"mmm yyyy")</f>
        <v>Dec 2025</v>
      </c>
      <c r="T1149" s="8">
        <f>data[[#This Row],[Profit]]/data[[#This Row],[Revenue]]</f>
        <v>9.7903726708074526E-2</v>
      </c>
    </row>
    <row r="1150" spans="1:20" x14ac:dyDescent="0.3">
      <c r="A1150">
        <v>11148</v>
      </c>
      <c r="B1150" t="s">
        <v>158</v>
      </c>
      <c r="C1150" t="s">
        <v>609</v>
      </c>
      <c r="D1150" t="s">
        <v>613</v>
      </c>
      <c r="E1150" t="s">
        <v>629</v>
      </c>
      <c r="F1150" t="s">
        <v>1710</v>
      </c>
      <c r="G1150" t="s">
        <v>1760</v>
      </c>
      <c r="H1150" t="s">
        <v>1769</v>
      </c>
      <c r="I1150" t="s">
        <v>1774</v>
      </c>
      <c r="J1150" t="s">
        <v>1776</v>
      </c>
      <c r="K1150">
        <v>20</v>
      </c>
      <c r="L1150" s="2">
        <v>492</v>
      </c>
      <c r="M1150">
        <v>0.2</v>
      </c>
      <c r="N1150" s="2">
        <v>277.72000000000003</v>
      </c>
      <c r="O1150" s="2">
        <v>7872</v>
      </c>
      <c r="P1150" s="2">
        <v>5554.4</v>
      </c>
      <c r="Q1150" s="2">
        <v>2317.6</v>
      </c>
      <c r="R1150">
        <v>0</v>
      </c>
      <c r="S1150" s="2" t="str">
        <f>TEXT(data[[#This Row],[Date]],"mmm yyyy")</f>
        <v>Oct 2024</v>
      </c>
      <c r="T1150" s="8">
        <f>data[[#This Row],[Profit]]/data[[#This Row],[Revenue]]</f>
        <v>0.29441056910569102</v>
      </c>
    </row>
    <row r="1151" spans="1:20" x14ac:dyDescent="0.3">
      <c r="A1151">
        <v>11149</v>
      </c>
      <c r="B1151" t="s">
        <v>437</v>
      </c>
      <c r="C1151" t="s">
        <v>608</v>
      </c>
      <c r="D1151" t="s">
        <v>612</v>
      </c>
      <c r="E1151" t="s">
        <v>626</v>
      </c>
      <c r="F1151" t="s">
        <v>1711</v>
      </c>
      <c r="G1151" t="s">
        <v>1760</v>
      </c>
      <c r="H1151" t="s">
        <v>1767</v>
      </c>
      <c r="I1151" t="s">
        <v>1774</v>
      </c>
      <c r="J1151" t="s">
        <v>1777</v>
      </c>
      <c r="K1151">
        <v>16</v>
      </c>
      <c r="L1151" s="2">
        <v>124</v>
      </c>
      <c r="M1151">
        <v>0</v>
      </c>
      <c r="N1151" s="2">
        <v>72.819999999999993</v>
      </c>
      <c r="O1151" s="2">
        <v>1984</v>
      </c>
      <c r="P1151" s="2">
        <v>1165.1199999999999</v>
      </c>
      <c r="Q1151" s="2">
        <v>818.88</v>
      </c>
      <c r="R1151">
        <v>1</v>
      </c>
      <c r="S1151" s="2" t="str">
        <f>TEXT(data[[#This Row],[Date]],"mmm yyyy")</f>
        <v>Jun 2024</v>
      </c>
      <c r="T1151" s="8">
        <f>data[[#This Row],[Profit]]/data[[#This Row],[Revenue]]</f>
        <v>0.41274193548387095</v>
      </c>
    </row>
    <row r="1152" spans="1:20" x14ac:dyDescent="0.3">
      <c r="A1152">
        <v>11150</v>
      </c>
      <c r="B1152" t="s">
        <v>156</v>
      </c>
      <c r="C1152" t="s">
        <v>606</v>
      </c>
      <c r="D1152" t="s">
        <v>610</v>
      </c>
      <c r="E1152" t="s">
        <v>629</v>
      </c>
      <c r="F1152" t="s">
        <v>1712</v>
      </c>
      <c r="G1152" t="s">
        <v>1760</v>
      </c>
      <c r="H1152" t="s">
        <v>1767</v>
      </c>
      <c r="I1152" t="s">
        <v>1773</v>
      </c>
      <c r="J1152" t="s">
        <v>1777</v>
      </c>
      <c r="K1152">
        <v>4</v>
      </c>
      <c r="L1152" s="2">
        <v>106</v>
      </c>
      <c r="M1152">
        <v>0.2</v>
      </c>
      <c r="N1152" s="2">
        <v>64.349999999999994</v>
      </c>
      <c r="O1152" s="2">
        <v>339.2</v>
      </c>
      <c r="P1152" s="2">
        <v>257.39999999999998</v>
      </c>
      <c r="Q1152" s="2">
        <v>81.8</v>
      </c>
      <c r="R1152">
        <v>0</v>
      </c>
      <c r="S1152" s="2" t="str">
        <f>TEXT(data[[#This Row],[Date]],"mmm yyyy")</f>
        <v>Dec 2024</v>
      </c>
      <c r="T1152" s="8">
        <f>data[[#This Row],[Profit]]/data[[#This Row],[Revenue]]</f>
        <v>0.2411556603773585</v>
      </c>
    </row>
    <row r="1153" spans="1:20" x14ac:dyDescent="0.3">
      <c r="A1153">
        <v>11151</v>
      </c>
      <c r="B1153" t="s">
        <v>321</v>
      </c>
      <c r="C1153" t="s">
        <v>607</v>
      </c>
      <c r="D1153" t="s">
        <v>611</v>
      </c>
      <c r="E1153" t="s">
        <v>629</v>
      </c>
      <c r="F1153" t="s">
        <v>1713</v>
      </c>
      <c r="G1153" t="s">
        <v>1764</v>
      </c>
      <c r="H1153" t="s">
        <v>1772</v>
      </c>
      <c r="I1153" t="s">
        <v>1774</v>
      </c>
      <c r="J1153" t="s">
        <v>1777</v>
      </c>
      <c r="K1153">
        <v>10</v>
      </c>
      <c r="L1153" s="2">
        <v>840</v>
      </c>
      <c r="M1153">
        <v>0.2</v>
      </c>
      <c r="N1153" s="2">
        <v>528.94000000000005</v>
      </c>
      <c r="O1153" s="2">
        <v>6720</v>
      </c>
      <c r="P1153" s="2">
        <v>5289.4</v>
      </c>
      <c r="Q1153" s="2">
        <v>1430.6</v>
      </c>
      <c r="R1153">
        <v>1</v>
      </c>
      <c r="S1153" s="2" t="str">
        <f>TEXT(data[[#This Row],[Date]],"mmm yyyy")</f>
        <v>Jul 2025</v>
      </c>
      <c r="T1153" s="8">
        <f>data[[#This Row],[Profit]]/data[[#This Row],[Revenue]]</f>
        <v>0.21288690476190475</v>
      </c>
    </row>
    <row r="1154" spans="1:20" x14ac:dyDescent="0.3">
      <c r="A1154">
        <v>11152</v>
      </c>
      <c r="B1154" t="s">
        <v>540</v>
      </c>
      <c r="C1154" t="s">
        <v>606</v>
      </c>
      <c r="D1154" t="s">
        <v>620</v>
      </c>
      <c r="E1154" t="s">
        <v>627</v>
      </c>
      <c r="F1154" t="s">
        <v>1714</v>
      </c>
      <c r="G1154" t="s">
        <v>1764</v>
      </c>
      <c r="H1154" t="s">
        <v>1768</v>
      </c>
      <c r="I1154" t="s">
        <v>1774</v>
      </c>
      <c r="J1154" t="s">
        <v>1777</v>
      </c>
      <c r="K1154">
        <v>20</v>
      </c>
      <c r="L1154" s="2">
        <v>1007</v>
      </c>
      <c r="M1154">
        <v>0.15</v>
      </c>
      <c r="N1154" s="2">
        <v>631.19000000000005</v>
      </c>
      <c r="O1154" s="2">
        <v>17119</v>
      </c>
      <c r="P1154" s="2">
        <v>12623.8</v>
      </c>
      <c r="Q1154" s="2">
        <v>4495.2</v>
      </c>
      <c r="R1154">
        <v>1</v>
      </c>
      <c r="S1154" s="2" t="str">
        <f>TEXT(data[[#This Row],[Date]],"mmm yyyy")</f>
        <v>Feb 2024</v>
      </c>
      <c r="T1154" s="8">
        <f>data[[#This Row],[Profit]]/data[[#This Row],[Revenue]]</f>
        <v>0.26258543139202056</v>
      </c>
    </row>
    <row r="1155" spans="1:20" x14ac:dyDescent="0.3">
      <c r="A1155">
        <v>11153</v>
      </c>
      <c r="B1155" t="s">
        <v>596</v>
      </c>
      <c r="C1155" t="s">
        <v>609</v>
      </c>
      <c r="D1155" t="s">
        <v>613</v>
      </c>
      <c r="E1155" t="s">
        <v>626</v>
      </c>
      <c r="F1155" t="s">
        <v>1715</v>
      </c>
      <c r="G1155" t="s">
        <v>1766</v>
      </c>
      <c r="H1155" t="s">
        <v>1772</v>
      </c>
      <c r="I1155" t="s">
        <v>1774</v>
      </c>
      <c r="J1155" t="s">
        <v>1778</v>
      </c>
      <c r="K1155">
        <v>14</v>
      </c>
      <c r="L1155" s="2">
        <v>906</v>
      </c>
      <c r="M1155">
        <v>0.2</v>
      </c>
      <c r="N1155" s="2">
        <v>495.14</v>
      </c>
      <c r="O1155" s="2">
        <v>10147.200000000001</v>
      </c>
      <c r="P1155" s="2">
        <v>6931.96</v>
      </c>
      <c r="Q1155" s="2">
        <v>3215.24</v>
      </c>
      <c r="R1155">
        <v>0</v>
      </c>
      <c r="S1155" s="2" t="str">
        <f>TEXT(data[[#This Row],[Date]],"mmm yyyy")</f>
        <v>Sep 2024</v>
      </c>
      <c r="T1155" s="8">
        <f>data[[#This Row],[Profit]]/data[[#This Row],[Revenue]]</f>
        <v>0.31685982339955848</v>
      </c>
    </row>
    <row r="1156" spans="1:20" x14ac:dyDescent="0.3">
      <c r="A1156">
        <v>11154</v>
      </c>
      <c r="B1156" t="s">
        <v>232</v>
      </c>
      <c r="C1156" t="s">
        <v>607</v>
      </c>
      <c r="D1156" t="s">
        <v>621</v>
      </c>
      <c r="E1156" t="s">
        <v>626</v>
      </c>
      <c r="F1156" t="s">
        <v>1716</v>
      </c>
      <c r="G1156" t="s">
        <v>1763</v>
      </c>
      <c r="H1156" t="s">
        <v>1772</v>
      </c>
      <c r="I1156" t="s">
        <v>1775</v>
      </c>
      <c r="J1156" t="s">
        <v>1776</v>
      </c>
      <c r="K1156">
        <v>7</v>
      </c>
      <c r="L1156" s="2">
        <v>1037</v>
      </c>
      <c r="M1156">
        <v>0.05</v>
      </c>
      <c r="N1156" s="2">
        <v>587.77</v>
      </c>
      <c r="O1156" s="2">
        <v>6896.05</v>
      </c>
      <c r="P1156" s="2">
        <v>4114.3900000000003</v>
      </c>
      <c r="Q1156" s="2">
        <v>2781.66</v>
      </c>
      <c r="R1156">
        <v>0</v>
      </c>
      <c r="S1156" s="2" t="str">
        <f>TEXT(data[[#This Row],[Date]],"mmm yyyy")</f>
        <v>Oct 2024</v>
      </c>
      <c r="T1156" s="8">
        <f>data[[#This Row],[Profit]]/data[[#This Row],[Revenue]]</f>
        <v>0.40337004517078612</v>
      </c>
    </row>
    <row r="1157" spans="1:20" x14ac:dyDescent="0.3">
      <c r="A1157">
        <v>11155</v>
      </c>
      <c r="B1157" t="s">
        <v>518</v>
      </c>
      <c r="C1157" t="s">
        <v>608</v>
      </c>
      <c r="D1157" t="s">
        <v>612</v>
      </c>
      <c r="E1157" t="s">
        <v>629</v>
      </c>
      <c r="F1157" t="s">
        <v>1717</v>
      </c>
      <c r="G1157" t="s">
        <v>1759</v>
      </c>
      <c r="H1157" t="s">
        <v>1767</v>
      </c>
      <c r="I1157" t="s">
        <v>1774</v>
      </c>
      <c r="J1157" t="s">
        <v>1779</v>
      </c>
      <c r="K1157">
        <v>19</v>
      </c>
      <c r="L1157" s="2">
        <v>132</v>
      </c>
      <c r="M1157">
        <v>0.15</v>
      </c>
      <c r="N1157" s="2">
        <v>72.47</v>
      </c>
      <c r="O1157" s="2">
        <v>2131.8000000000002</v>
      </c>
      <c r="P1157" s="2">
        <v>1376.93</v>
      </c>
      <c r="Q1157" s="2">
        <v>754.87</v>
      </c>
      <c r="R1157">
        <v>0</v>
      </c>
      <c r="S1157" s="2" t="str">
        <f>TEXT(data[[#This Row],[Date]],"mmm yyyy")</f>
        <v>Jun 2025</v>
      </c>
      <c r="T1157" s="8">
        <f>data[[#This Row],[Profit]]/data[[#This Row],[Revenue]]</f>
        <v>0.35409982174688054</v>
      </c>
    </row>
    <row r="1158" spans="1:20" x14ac:dyDescent="0.3">
      <c r="A1158">
        <v>11156</v>
      </c>
      <c r="B1158" t="s">
        <v>96</v>
      </c>
      <c r="C1158" t="s">
        <v>609</v>
      </c>
      <c r="D1158" t="s">
        <v>622</v>
      </c>
      <c r="E1158" t="s">
        <v>628</v>
      </c>
      <c r="F1158" t="s">
        <v>1718</v>
      </c>
      <c r="G1158" t="s">
        <v>1762</v>
      </c>
      <c r="H1158" t="s">
        <v>1771</v>
      </c>
      <c r="I1158" t="s">
        <v>1774</v>
      </c>
      <c r="J1158" t="s">
        <v>1776</v>
      </c>
      <c r="K1158">
        <v>12</v>
      </c>
      <c r="L1158" s="2">
        <v>500</v>
      </c>
      <c r="M1158">
        <v>0.2</v>
      </c>
      <c r="N1158" s="2">
        <v>317.64</v>
      </c>
      <c r="O1158" s="2">
        <v>4800</v>
      </c>
      <c r="P1158" s="2">
        <v>3811.68</v>
      </c>
      <c r="Q1158" s="2">
        <v>988.32</v>
      </c>
      <c r="R1158">
        <v>0</v>
      </c>
      <c r="S1158" s="2" t="str">
        <f>TEXT(data[[#This Row],[Date]],"mmm yyyy")</f>
        <v>May 2025</v>
      </c>
      <c r="T1158" s="8">
        <f>data[[#This Row],[Profit]]/data[[#This Row],[Revenue]]</f>
        <v>0.2059</v>
      </c>
    </row>
    <row r="1159" spans="1:20" x14ac:dyDescent="0.3">
      <c r="A1159">
        <v>11157</v>
      </c>
      <c r="B1159" t="s">
        <v>404</v>
      </c>
      <c r="C1159" t="s">
        <v>607</v>
      </c>
      <c r="D1159" t="s">
        <v>624</v>
      </c>
      <c r="E1159" t="s">
        <v>627</v>
      </c>
      <c r="F1159" t="s">
        <v>1719</v>
      </c>
      <c r="G1159" t="s">
        <v>1761</v>
      </c>
      <c r="H1159" t="s">
        <v>1771</v>
      </c>
      <c r="I1159" t="s">
        <v>1773</v>
      </c>
      <c r="J1159" t="s">
        <v>1779</v>
      </c>
      <c r="K1159">
        <v>15</v>
      </c>
      <c r="L1159" s="2">
        <v>449</v>
      </c>
      <c r="M1159">
        <v>0</v>
      </c>
      <c r="N1159" s="2">
        <v>243.43</v>
      </c>
      <c r="O1159" s="2">
        <v>6735</v>
      </c>
      <c r="P1159" s="2">
        <v>3651.45</v>
      </c>
      <c r="Q1159" s="2">
        <v>3083.55</v>
      </c>
      <c r="R1159">
        <v>1</v>
      </c>
      <c r="S1159" s="2" t="str">
        <f>TEXT(data[[#This Row],[Date]],"mmm yyyy")</f>
        <v>Aug 2024</v>
      </c>
      <c r="T1159" s="8">
        <f>data[[#This Row],[Profit]]/data[[#This Row],[Revenue]]</f>
        <v>0.4578396436525613</v>
      </c>
    </row>
    <row r="1160" spans="1:20" x14ac:dyDescent="0.3">
      <c r="A1160">
        <v>11158</v>
      </c>
      <c r="B1160" t="s">
        <v>230</v>
      </c>
      <c r="C1160" t="s">
        <v>609</v>
      </c>
      <c r="D1160" t="s">
        <v>613</v>
      </c>
      <c r="E1160" t="s">
        <v>626</v>
      </c>
      <c r="F1160" t="s">
        <v>1720</v>
      </c>
      <c r="G1160" t="s">
        <v>1762</v>
      </c>
      <c r="H1160" t="s">
        <v>1767</v>
      </c>
      <c r="I1160" t="s">
        <v>1775</v>
      </c>
      <c r="J1160" t="s">
        <v>1776</v>
      </c>
      <c r="K1160">
        <v>12</v>
      </c>
      <c r="L1160" s="2">
        <v>297</v>
      </c>
      <c r="M1160">
        <v>0.05</v>
      </c>
      <c r="N1160" s="2">
        <v>154.65</v>
      </c>
      <c r="O1160" s="2">
        <v>3385.8</v>
      </c>
      <c r="P1160" s="2">
        <v>1855.8</v>
      </c>
      <c r="Q1160" s="2">
        <v>1530</v>
      </c>
      <c r="R1160">
        <v>1</v>
      </c>
      <c r="S1160" s="2" t="str">
        <f>TEXT(data[[#This Row],[Date]],"mmm yyyy")</f>
        <v>Sep 2025</v>
      </c>
      <c r="T1160" s="8">
        <f>data[[#This Row],[Profit]]/data[[#This Row],[Revenue]]</f>
        <v>0.45188729399255712</v>
      </c>
    </row>
    <row r="1161" spans="1:20" x14ac:dyDescent="0.3">
      <c r="A1161">
        <v>11159</v>
      </c>
      <c r="B1161" t="s">
        <v>95</v>
      </c>
      <c r="C1161" t="s">
        <v>607</v>
      </c>
      <c r="D1161" t="s">
        <v>611</v>
      </c>
      <c r="E1161" t="s">
        <v>627</v>
      </c>
      <c r="F1161" t="s">
        <v>1721</v>
      </c>
      <c r="G1161" t="s">
        <v>1763</v>
      </c>
      <c r="H1161" t="s">
        <v>1769</v>
      </c>
      <c r="I1161" t="s">
        <v>1775</v>
      </c>
      <c r="J1161" t="s">
        <v>1776</v>
      </c>
      <c r="K1161">
        <v>6</v>
      </c>
      <c r="L1161" s="2">
        <v>346</v>
      </c>
      <c r="M1161">
        <v>0</v>
      </c>
      <c r="N1161" s="2">
        <v>223.89</v>
      </c>
      <c r="O1161" s="2">
        <v>2076</v>
      </c>
      <c r="P1161" s="2">
        <v>1343.34</v>
      </c>
      <c r="Q1161" s="2">
        <v>732.66</v>
      </c>
      <c r="R1161">
        <v>0</v>
      </c>
      <c r="S1161" s="2" t="str">
        <f>TEXT(data[[#This Row],[Date]],"mmm yyyy")</f>
        <v>Aug 2024</v>
      </c>
      <c r="T1161" s="8">
        <f>data[[#This Row],[Profit]]/data[[#This Row],[Revenue]]</f>
        <v>0.35291907514450865</v>
      </c>
    </row>
    <row r="1162" spans="1:20" x14ac:dyDescent="0.3">
      <c r="A1162">
        <v>11160</v>
      </c>
      <c r="B1162" t="s">
        <v>30</v>
      </c>
      <c r="C1162" t="s">
        <v>607</v>
      </c>
      <c r="D1162" t="s">
        <v>624</v>
      </c>
      <c r="E1162" t="s">
        <v>626</v>
      </c>
      <c r="F1162" t="s">
        <v>1722</v>
      </c>
      <c r="G1162" t="s">
        <v>1761</v>
      </c>
      <c r="H1162" t="s">
        <v>1770</v>
      </c>
      <c r="I1162" t="s">
        <v>1773</v>
      </c>
      <c r="J1162" t="s">
        <v>1777</v>
      </c>
      <c r="K1162">
        <v>19</v>
      </c>
      <c r="L1162" s="2">
        <v>548</v>
      </c>
      <c r="M1162">
        <v>0.05</v>
      </c>
      <c r="N1162" s="2">
        <v>338.69</v>
      </c>
      <c r="O1162" s="2">
        <v>9891.4</v>
      </c>
      <c r="P1162" s="2">
        <v>6435.11</v>
      </c>
      <c r="Q1162" s="2">
        <v>3456.29</v>
      </c>
      <c r="R1162">
        <v>0</v>
      </c>
      <c r="S1162" s="2" t="str">
        <f>TEXT(data[[#This Row],[Date]],"mmm yyyy")</f>
        <v>Dec 2025</v>
      </c>
      <c r="T1162" s="8">
        <f>data[[#This Row],[Profit]]/data[[#This Row],[Revenue]]</f>
        <v>0.34942374183634267</v>
      </c>
    </row>
    <row r="1163" spans="1:20" x14ac:dyDescent="0.3">
      <c r="A1163">
        <v>11161</v>
      </c>
      <c r="B1163" t="s">
        <v>80</v>
      </c>
      <c r="C1163" t="s">
        <v>607</v>
      </c>
      <c r="D1163" t="s">
        <v>624</v>
      </c>
      <c r="E1163" t="s">
        <v>627</v>
      </c>
      <c r="F1163" t="s">
        <v>1128</v>
      </c>
      <c r="G1163" t="s">
        <v>1764</v>
      </c>
      <c r="H1163" t="s">
        <v>1772</v>
      </c>
      <c r="I1163" t="s">
        <v>1773</v>
      </c>
      <c r="J1163" t="s">
        <v>1778</v>
      </c>
      <c r="K1163">
        <v>14</v>
      </c>
      <c r="L1163" s="2">
        <v>807</v>
      </c>
      <c r="M1163">
        <v>0.1</v>
      </c>
      <c r="N1163" s="2">
        <v>431.05</v>
      </c>
      <c r="O1163" s="2">
        <v>10168.200000000001</v>
      </c>
      <c r="P1163" s="2">
        <v>6034.7</v>
      </c>
      <c r="Q1163" s="2">
        <v>4133.5</v>
      </c>
      <c r="R1163">
        <v>1</v>
      </c>
      <c r="S1163" s="2" t="str">
        <f>TEXT(data[[#This Row],[Date]],"mmm yyyy")</f>
        <v>Sep 2024</v>
      </c>
      <c r="T1163" s="8">
        <f>data[[#This Row],[Profit]]/data[[#This Row],[Revenue]]</f>
        <v>0.40651246041580613</v>
      </c>
    </row>
    <row r="1164" spans="1:20" x14ac:dyDescent="0.3">
      <c r="A1164">
        <v>11162</v>
      </c>
      <c r="B1164" t="s">
        <v>218</v>
      </c>
      <c r="C1164" t="s">
        <v>608</v>
      </c>
      <c r="D1164" t="s">
        <v>612</v>
      </c>
      <c r="E1164" t="s">
        <v>627</v>
      </c>
      <c r="F1164" t="s">
        <v>1723</v>
      </c>
      <c r="G1164" t="s">
        <v>1759</v>
      </c>
      <c r="H1164" t="s">
        <v>1772</v>
      </c>
      <c r="I1164" t="s">
        <v>1774</v>
      </c>
      <c r="J1164" t="s">
        <v>1778</v>
      </c>
      <c r="K1164">
        <v>4</v>
      </c>
      <c r="L1164" s="2">
        <v>862</v>
      </c>
      <c r="M1164">
        <v>0.1</v>
      </c>
      <c r="N1164" s="2">
        <v>598.37</v>
      </c>
      <c r="O1164" s="2">
        <v>3103.2</v>
      </c>
      <c r="P1164" s="2">
        <v>2393.48</v>
      </c>
      <c r="Q1164" s="2">
        <v>709.72</v>
      </c>
      <c r="R1164">
        <v>0</v>
      </c>
      <c r="S1164" s="2" t="str">
        <f>TEXT(data[[#This Row],[Date]],"mmm yyyy")</f>
        <v>Oct 2025</v>
      </c>
      <c r="T1164" s="8">
        <f>data[[#This Row],[Profit]]/data[[#This Row],[Revenue]]</f>
        <v>0.22870585202371749</v>
      </c>
    </row>
    <row r="1165" spans="1:20" x14ac:dyDescent="0.3">
      <c r="A1165">
        <v>11163</v>
      </c>
      <c r="B1165" t="s">
        <v>64</v>
      </c>
      <c r="C1165" t="s">
        <v>609</v>
      </c>
      <c r="D1165" t="s">
        <v>613</v>
      </c>
      <c r="E1165" t="s">
        <v>628</v>
      </c>
      <c r="F1165" t="s">
        <v>1724</v>
      </c>
      <c r="G1165" t="s">
        <v>1759</v>
      </c>
      <c r="H1165" t="s">
        <v>1769</v>
      </c>
      <c r="I1165" t="s">
        <v>1773</v>
      </c>
      <c r="J1165" t="s">
        <v>1776</v>
      </c>
      <c r="K1165">
        <v>11</v>
      </c>
      <c r="L1165" s="2">
        <v>260</v>
      </c>
      <c r="M1165">
        <v>0.2</v>
      </c>
      <c r="N1165" s="2">
        <v>154.18</v>
      </c>
      <c r="O1165" s="2">
        <v>2288</v>
      </c>
      <c r="P1165" s="2">
        <v>1695.98</v>
      </c>
      <c r="Q1165" s="2">
        <v>592.02</v>
      </c>
      <c r="R1165">
        <v>0</v>
      </c>
      <c r="S1165" s="2" t="str">
        <f>TEXT(data[[#This Row],[Date]],"mmm yyyy")</f>
        <v>Apr 2024</v>
      </c>
      <c r="T1165" s="8">
        <f>data[[#This Row],[Profit]]/data[[#This Row],[Revenue]]</f>
        <v>0.25874999999999998</v>
      </c>
    </row>
    <row r="1166" spans="1:20" x14ac:dyDescent="0.3">
      <c r="A1166">
        <v>11164</v>
      </c>
      <c r="B1166" t="s">
        <v>429</v>
      </c>
      <c r="C1166" t="s">
        <v>608</v>
      </c>
      <c r="D1166" t="s">
        <v>614</v>
      </c>
      <c r="E1166" t="s">
        <v>629</v>
      </c>
      <c r="F1166" t="s">
        <v>1725</v>
      </c>
      <c r="G1166" t="s">
        <v>1759</v>
      </c>
      <c r="H1166" t="s">
        <v>1769</v>
      </c>
      <c r="I1166" t="s">
        <v>1773</v>
      </c>
      <c r="J1166" t="s">
        <v>1778</v>
      </c>
      <c r="K1166">
        <v>5</v>
      </c>
      <c r="L1166" s="2">
        <v>198</v>
      </c>
      <c r="M1166">
        <v>0.1</v>
      </c>
      <c r="N1166" s="2">
        <v>135.41</v>
      </c>
      <c r="O1166" s="2">
        <v>891</v>
      </c>
      <c r="P1166" s="2">
        <v>677.05</v>
      </c>
      <c r="Q1166" s="2">
        <v>213.95</v>
      </c>
      <c r="R1166">
        <v>0</v>
      </c>
      <c r="S1166" s="2" t="str">
        <f>TEXT(data[[#This Row],[Date]],"mmm yyyy")</f>
        <v>Aug 2025</v>
      </c>
      <c r="T1166" s="8">
        <f>data[[#This Row],[Profit]]/data[[#This Row],[Revenue]]</f>
        <v>0.24012345679012345</v>
      </c>
    </row>
    <row r="1167" spans="1:20" x14ac:dyDescent="0.3">
      <c r="A1167">
        <v>11165</v>
      </c>
      <c r="B1167" t="s">
        <v>146</v>
      </c>
      <c r="C1167" t="s">
        <v>608</v>
      </c>
      <c r="D1167" t="s">
        <v>612</v>
      </c>
      <c r="E1167" t="s">
        <v>629</v>
      </c>
      <c r="F1167" t="s">
        <v>1726</v>
      </c>
      <c r="G1167" t="s">
        <v>1766</v>
      </c>
      <c r="H1167" t="s">
        <v>1772</v>
      </c>
      <c r="I1167" t="s">
        <v>1774</v>
      </c>
      <c r="J1167" t="s">
        <v>1777</v>
      </c>
      <c r="K1167">
        <v>12</v>
      </c>
      <c r="L1167" s="2">
        <v>729</v>
      </c>
      <c r="M1167">
        <v>0.15</v>
      </c>
      <c r="N1167" s="2">
        <v>472.2</v>
      </c>
      <c r="O1167" s="2">
        <v>7435.8</v>
      </c>
      <c r="P1167" s="2">
        <v>5666.4</v>
      </c>
      <c r="Q1167" s="2">
        <v>1769.4</v>
      </c>
      <c r="R1167">
        <v>0</v>
      </c>
      <c r="S1167" s="2" t="str">
        <f>TEXT(data[[#This Row],[Date]],"mmm yyyy")</f>
        <v>Oct 2024</v>
      </c>
      <c r="T1167" s="8">
        <f>data[[#This Row],[Profit]]/data[[#This Row],[Revenue]]</f>
        <v>0.23795691115952555</v>
      </c>
    </row>
    <row r="1168" spans="1:20" x14ac:dyDescent="0.3">
      <c r="A1168">
        <v>11166</v>
      </c>
      <c r="B1168" t="s">
        <v>36</v>
      </c>
      <c r="C1168" t="s">
        <v>606</v>
      </c>
      <c r="D1168" t="s">
        <v>616</v>
      </c>
      <c r="E1168" t="s">
        <v>626</v>
      </c>
      <c r="F1168" t="s">
        <v>1727</v>
      </c>
      <c r="G1168" t="s">
        <v>1761</v>
      </c>
      <c r="H1168" t="s">
        <v>1770</v>
      </c>
      <c r="I1168" t="s">
        <v>1773</v>
      </c>
      <c r="J1168" t="s">
        <v>1779</v>
      </c>
      <c r="K1168">
        <v>17</v>
      </c>
      <c r="L1168" s="2">
        <v>444</v>
      </c>
      <c r="M1168">
        <v>0.2</v>
      </c>
      <c r="N1168" s="2">
        <v>259.48</v>
      </c>
      <c r="O1168" s="2">
        <v>6038.4</v>
      </c>
      <c r="P1168" s="2">
        <v>4411.16</v>
      </c>
      <c r="Q1168" s="2">
        <v>1627.24</v>
      </c>
      <c r="R1168">
        <v>0</v>
      </c>
      <c r="S1168" s="2" t="str">
        <f>TEXT(data[[#This Row],[Date]],"mmm yyyy")</f>
        <v>Mar 2025</v>
      </c>
      <c r="T1168" s="8">
        <f>data[[#This Row],[Profit]]/data[[#This Row],[Revenue]]</f>
        <v>0.26948198198198198</v>
      </c>
    </row>
    <row r="1169" spans="1:20" x14ac:dyDescent="0.3">
      <c r="A1169">
        <v>11167</v>
      </c>
      <c r="B1169" t="s">
        <v>597</v>
      </c>
      <c r="C1169" t="s">
        <v>607</v>
      </c>
      <c r="D1169" t="s">
        <v>611</v>
      </c>
      <c r="E1169" t="s">
        <v>628</v>
      </c>
      <c r="F1169" t="s">
        <v>1728</v>
      </c>
      <c r="G1169" t="s">
        <v>1760</v>
      </c>
      <c r="H1169" t="s">
        <v>1770</v>
      </c>
      <c r="I1169" t="s">
        <v>1774</v>
      </c>
      <c r="J1169" t="s">
        <v>1779</v>
      </c>
      <c r="K1169">
        <v>2</v>
      </c>
      <c r="L1169" s="2">
        <v>484</v>
      </c>
      <c r="M1169">
        <v>0</v>
      </c>
      <c r="N1169" s="2">
        <v>242.71</v>
      </c>
      <c r="O1169" s="2">
        <v>968</v>
      </c>
      <c r="P1169" s="2">
        <v>485.42</v>
      </c>
      <c r="Q1169" s="2">
        <v>482.58</v>
      </c>
      <c r="R1169">
        <v>0</v>
      </c>
      <c r="S1169" s="2" t="str">
        <f>TEXT(data[[#This Row],[Date]],"mmm yyyy")</f>
        <v>May 2024</v>
      </c>
      <c r="T1169" s="8">
        <f>data[[#This Row],[Profit]]/data[[#This Row],[Revenue]]</f>
        <v>0.49853305785123964</v>
      </c>
    </row>
    <row r="1170" spans="1:20" x14ac:dyDescent="0.3">
      <c r="A1170">
        <v>11168</v>
      </c>
      <c r="B1170" t="s">
        <v>394</v>
      </c>
      <c r="C1170" t="s">
        <v>609</v>
      </c>
      <c r="D1170" t="s">
        <v>623</v>
      </c>
      <c r="E1170" t="s">
        <v>629</v>
      </c>
      <c r="F1170" t="s">
        <v>1729</v>
      </c>
      <c r="G1170" t="s">
        <v>1765</v>
      </c>
      <c r="H1170" t="s">
        <v>1771</v>
      </c>
      <c r="I1170" t="s">
        <v>1775</v>
      </c>
      <c r="J1170" t="s">
        <v>1778</v>
      </c>
      <c r="K1170">
        <v>2</v>
      </c>
      <c r="L1170" s="2">
        <v>604</v>
      </c>
      <c r="M1170">
        <v>0.1</v>
      </c>
      <c r="N1170" s="2">
        <v>315.70999999999998</v>
      </c>
      <c r="O1170" s="2">
        <v>1087.2</v>
      </c>
      <c r="P1170" s="2">
        <v>631.41999999999996</v>
      </c>
      <c r="Q1170" s="2">
        <v>455.78</v>
      </c>
      <c r="R1170">
        <v>0</v>
      </c>
      <c r="S1170" s="2" t="str">
        <f>TEXT(data[[#This Row],[Date]],"mmm yyyy")</f>
        <v>Oct 2025</v>
      </c>
      <c r="T1170" s="8">
        <f>data[[#This Row],[Profit]]/data[[#This Row],[Revenue]]</f>
        <v>0.41922369389256803</v>
      </c>
    </row>
    <row r="1171" spans="1:20" x14ac:dyDescent="0.3">
      <c r="A1171">
        <v>11169</v>
      </c>
      <c r="B1171" t="s">
        <v>66</v>
      </c>
      <c r="C1171" t="s">
        <v>606</v>
      </c>
      <c r="D1171" t="s">
        <v>610</v>
      </c>
      <c r="E1171" t="s">
        <v>629</v>
      </c>
      <c r="F1171" t="s">
        <v>1730</v>
      </c>
      <c r="G1171" t="s">
        <v>1766</v>
      </c>
      <c r="H1171" t="s">
        <v>1772</v>
      </c>
      <c r="I1171" t="s">
        <v>1774</v>
      </c>
      <c r="J1171" t="s">
        <v>1777</v>
      </c>
      <c r="K1171">
        <v>8</v>
      </c>
      <c r="L1171" s="2">
        <v>588</v>
      </c>
      <c r="M1171">
        <v>0.15</v>
      </c>
      <c r="N1171" s="2">
        <v>309.33</v>
      </c>
      <c r="O1171" s="2">
        <v>3998.4</v>
      </c>
      <c r="P1171" s="2">
        <v>2474.64</v>
      </c>
      <c r="Q1171" s="2">
        <v>1523.76</v>
      </c>
      <c r="R1171">
        <v>0</v>
      </c>
      <c r="S1171" s="2" t="str">
        <f>TEXT(data[[#This Row],[Date]],"mmm yyyy")</f>
        <v>Jan 2025</v>
      </c>
      <c r="T1171" s="8">
        <f>data[[#This Row],[Profit]]/data[[#This Row],[Revenue]]</f>
        <v>0.38109243697478989</v>
      </c>
    </row>
    <row r="1172" spans="1:20" x14ac:dyDescent="0.3">
      <c r="A1172">
        <v>11170</v>
      </c>
      <c r="B1172" t="s">
        <v>577</v>
      </c>
      <c r="C1172" t="s">
        <v>609</v>
      </c>
      <c r="D1172" t="s">
        <v>613</v>
      </c>
      <c r="E1172" t="s">
        <v>629</v>
      </c>
      <c r="F1172" t="s">
        <v>1731</v>
      </c>
      <c r="G1172" t="s">
        <v>1759</v>
      </c>
      <c r="H1172" t="s">
        <v>1770</v>
      </c>
      <c r="I1172" t="s">
        <v>1773</v>
      </c>
      <c r="J1172" t="s">
        <v>1779</v>
      </c>
      <c r="K1172">
        <v>17</v>
      </c>
      <c r="L1172" s="2">
        <v>957</v>
      </c>
      <c r="M1172">
        <v>0.2</v>
      </c>
      <c r="N1172" s="2">
        <v>638.59</v>
      </c>
      <c r="O1172" s="2">
        <v>13015.2</v>
      </c>
      <c r="P1172" s="2">
        <v>10856.03</v>
      </c>
      <c r="Q1172" s="2">
        <v>2159.17</v>
      </c>
      <c r="R1172">
        <v>1</v>
      </c>
      <c r="S1172" s="2" t="str">
        <f>TEXT(data[[#This Row],[Date]],"mmm yyyy")</f>
        <v>Nov 2024</v>
      </c>
      <c r="T1172" s="8">
        <f>data[[#This Row],[Profit]]/data[[#This Row],[Revenue]]</f>
        <v>0.16589602925809821</v>
      </c>
    </row>
    <row r="1173" spans="1:20" x14ac:dyDescent="0.3">
      <c r="A1173">
        <v>11171</v>
      </c>
      <c r="B1173" t="s">
        <v>598</v>
      </c>
      <c r="C1173" t="s">
        <v>609</v>
      </c>
      <c r="D1173" t="s">
        <v>623</v>
      </c>
      <c r="E1173" t="s">
        <v>626</v>
      </c>
      <c r="F1173" t="s">
        <v>1732</v>
      </c>
      <c r="G1173" t="s">
        <v>1764</v>
      </c>
      <c r="H1173" t="s">
        <v>1768</v>
      </c>
      <c r="I1173" t="s">
        <v>1773</v>
      </c>
      <c r="J1173" t="s">
        <v>1777</v>
      </c>
      <c r="K1173">
        <v>16</v>
      </c>
      <c r="L1173" s="2">
        <v>1365</v>
      </c>
      <c r="M1173">
        <v>0</v>
      </c>
      <c r="N1173" s="2">
        <v>953.54</v>
      </c>
      <c r="O1173" s="2">
        <v>21840</v>
      </c>
      <c r="P1173" s="2">
        <v>15256.64</v>
      </c>
      <c r="Q1173" s="2">
        <v>6583.36</v>
      </c>
      <c r="R1173">
        <v>0</v>
      </c>
      <c r="S1173" s="2" t="str">
        <f>TEXT(data[[#This Row],[Date]],"mmm yyyy")</f>
        <v>Mar 2025</v>
      </c>
      <c r="T1173" s="8">
        <f>data[[#This Row],[Profit]]/data[[#This Row],[Revenue]]</f>
        <v>0.30143589743589744</v>
      </c>
    </row>
    <row r="1174" spans="1:20" x14ac:dyDescent="0.3">
      <c r="A1174">
        <v>11172</v>
      </c>
      <c r="B1174" t="s">
        <v>516</v>
      </c>
      <c r="C1174" t="s">
        <v>608</v>
      </c>
      <c r="D1174" t="s">
        <v>615</v>
      </c>
      <c r="E1174" t="s">
        <v>626</v>
      </c>
      <c r="F1174" t="s">
        <v>1733</v>
      </c>
      <c r="G1174" t="s">
        <v>1763</v>
      </c>
      <c r="H1174" t="s">
        <v>1769</v>
      </c>
      <c r="I1174" t="s">
        <v>1775</v>
      </c>
      <c r="J1174" t="s">
        <v>1777</v>
      </c>
      <c r="K1174">
        <v>11</v>
      </c>
      <c r="L1174" s="2">
        <v>414</v>
      </c>
      <c r="M1174">
        <v>0</v>
      </c>
      <c r="N1174" s="2">
        <v>236.34</v>
      </c>
      <c r="O1174" s="2">
        <v>4554</v>
      </c>
      <c r="P1174" s="2">
        <v>2599.7399999999998</v>
      </c>
      <c r="Q1174" s="2">
        <v>1954.26</v>
      </c>
      <c r="R1174">
        <v>0</v>
      </c>
      <c r="S1174" s="2" t="str">
        <f>TEXT(data[[#This Row],[Date]],"mmm yyyy")</f>
        <v>Oct 2024</v>
      </c>
      <c r="T1174" s="8">
        <f>data[[#This Row],[Profit]]/data[[#This Row],[Revenue]]</f>
        <v>0.42913043478260871</v>
      </c>
    </row>
    <row r="1175" spans="1:20" x14ac:dyDescent="0.3">
      <c r="A1175">
        <v>11173</v>
      </c>
      <c r="B1175" t="s">
        <v>60</v>
      </c>
      <c r="C1175" t="s">
        <v>609</v>
      </c>
      <c r="D1175" t="s">
        <v>613</v>
      </c>
      <c r="E1175" t="s">
        <v>627</v>
      </c>
      <c r="F1175" t="s">
        <v>1734</v>
      </c>
      <c r="G1175" t="s">
        <v>1763</v>
      </c>
      <c r="H1175" t="s">
        <v>1770</v>
      </c>
      <c r="I1175" t="s">
        <v>1773</v>
      </c>
      <c r="J1175" t="s">
        <v>1777</v>
      </c>
      <c r="K1175">
        <v>6</v>
      </c>
      <c r="L1175" s="2">
        <v>608</v>
      </c>
      <c r="M1175">
        <v>0</v>
      </c>
      <c r="N1175" s="2">
        <v>372.22</v>
      </c>
      <c r="O1175" s="2">
        <v>3648</v>
      </c>
      <c r="P1175" s="2">
        <v>2233.3200000000002</v>
      </c>
      <c r="Q1175" s="2">
        <v>1414.68</v>
      </c>
      <c r="R1175">
        <v>0</v>
      </c>
      <c r="S1175" s="2" t="str">
        <f>TEXT(data[[#This Row],[Date]],"mmm yyyy")</f>
        <v>Oct 2024</v>
      </c>
      <c r="T1175" s="8">
        <f>data[[#This Row],[Profit]]/data[[#This Row],[Revenue]]</f>
        <v>0.38779605263157896</v>
      </c>
    </row>
    <row r="1176" spans="1:20" x14ac:dyDescent="0.3">
      <c r="A1176">
        <v>11174</v>
      </c>
      <c r="B1176" t="s">
        <v>599</v>
      </c>
      <c r="C1176" t="s">
        <v>607</v>
      </c>
      <c r="D1176" t="s">
        <v>611</v>
      </c>
      <c r="E1176" t="s">
        <v>629</v>
      </c>
      <c r="F1176" t="s">
        <v>1735</v>
      </c>
      <c r="G1176" t="s">
        <v>1763</v>
      </c>
      <c r="H1176" t="s">
        <v>1770</v>
      </c>
      <c r="I1176" t="s">
        <v>1775</v>
      </c>
      <c r="J1176" t="s">
        <v>1777</v>
      </c>
      <c r="K1176">
        <v>4</v>
      </c>
      <c r="L1176" s="2">
        <v>658</v>
      </c>
      <c r="M1176">
        <v>0.2</v>
      </c>
      <c r="N1176" s="2">
        <v>392.67</v>
      </c>
      <c r="O1176" s="2">
        <v>2105.6</v>
      </c>
      <c r="P1176" s="2">
        <v>1570.68</v>
      </c>
      <c r="Q1176" s="2">
        <v>534.91999999999996</v>
      </c>
      <c r="R1176">
        <v>0</v>
      </c>
      <c r="S1176" s="2" t="str">
        <f>TEXT(data[[#This Row],[Date]],"mmm yyyy")</f>
        <v>Dec 2024</v>
      </c>
      <c r="T1176" s="8">
        <f>data[[#This Row],[Profit]]/data[[#This Row],[Revenue]]</f>
        <v>0.2540463525835866</v>
      </c>
    </row>
    <row r="1177" spans="1:20" x14ac:dyDescent="0.3">
      <c r="A1177">
        <v>11175</v>
      </c>
      <c r="B1177" t="s">
        <v>600</v>
      </c>
      <c r="C1177" t="s">
        <v>606</v>
      </c>
      <c r="D1177" t="s">
        <v>625</v>
      </c>
      <c r="E1177" t="s">
        <v>629</v>
      </c>
      <c r="F1177" t="s">
        <v>1736</v>
      </c>
      <c r="G1177" t="s">
        <v>1759</v>
      </c>
      <c r="H1177" t="s">
        <v>1770</v>
      </c>
      <c r="I1177" t="s">
        <v>1775</v>
      </c>
      <c r="J1177" t="s">
        <v>1778</v>
      </c>
      <c r="K1177">
        <v>4</v>
      </c>
      <c r="L1177" s="2">
        <v>527</v>
      </c>
      <c r="M1177">
        <v>0.2</v>
      </c>
      <c r="N1177" s="2">
        <v>372.68</v>
      </c>
      <c r="O1177" s="2">
        <v>1686.4</v>
      </c>
      <c r="P1177" s="2">
        <v>1490.72</v>
      </c>
      <c r="Q1177" s="2">
        <v>195.68</v>
      </c>
      <c r="R1177">
        <v>1</v>
      </c>
      <c r="S1177" s="2" t="str">
        <f>TEXT(data[[#This Row],[Date]],"mmm yyyy")</f>
        <v>Aug 2024</v>
      </c>
      <c r="T1177" s="8">
        <f>data[[#This Row],[Profit]]/data[[#This Row],[Revenue]]</f>
        <v>0.11603415559772295</v>
      </c>
    </row>
    <row r="1178" spans="1:20" x14ac:dyDescent="0.3">
      <c r="A1178">
        <v>11176</v>
      </c>
      <c r="B1178" t="s">
        <v>529</v>
      </c>
      <c r="C1178" t="s">
        <v>606</v>
      </c>
      <c r="D1178" t="s">
        <v>610</v>
      </c>
      <c r="E1178" t="s">
        <v>628</v>
      </c>
      <c r="F1178" t="s">
        <v>1737</v>
      </c>
      <c r="G1178" t="s">
        <v>1761</v>
      </c>
      <c r="H1178" t="s">
        <v>1770</v>
      </c>
      <c r="I1178" t="s">
        <v>1773</v>
      </c>
      <c r="J1178" t="s">
        <v>1776</v>
      </c>
      <c r="K1178">
        <v>12</v>
      </c>
      <c r="L1178" s="2">
        <v>967</v>
      </c>
      <c r="M1178">
        <v>0.15</v>
      </c>
      <c r="N1178" s="2">
        <v>640.15</v>
      </c>
      <c r="O1178" s="2">
        <v>9863.4</v>
      </c>
      <c r="P1178" s="2">
        <v>7681.8</v>
      </c>
      <c r="Q1178" s="2">
        <v>2181.6</v>
      </c>
      <c r="R1178">
        <v>0</v>
      </c>
      <c r="S1178" s="2" t="str">
        <f>TEXT(data[[#This Row],[Date]],"mmm yyyy")</f>
        <v>Apr 2025</v>
      </c>
      <c r="T1178" s="8">
        <f>data[[#This Row],[Profit]]/data[[#This Row],[Revenue]]</f>
        <v>0.22118133706429832</v>
      </c>
    </row>
    <row r="1179" spans="1:20" x14ac:dyDescent="0.3">
      <c r="A1179">
        <v>11177</v>
      </c>
      <c r="B1179" t="s">
        <v>601</v>
      </c>
      <c r="C1179" t="s">
        <v>607</v>
      </c>
      <c r="D1179" t="s">
        <v>624</v>
      </c>
      <c r="E1179" t="s">
        <v>627</v>
      </c>
      <c r="F1179" t="s">
        <v>1738</v>
      </c>
      <c r="G1179" t="s">
        <v>1762</v>
      </c>
      <c r="H1179" t="s">
        <v>1772</v>
      </c>
      <c r="I1179" t="s">
        <v>1775</v>
      </c>
      <c r="J1179" t="s">
        <v>1777</v>
      </c>
      <c r="K1179">
        <v>7</v>
      </c>
      <c r="L1179" s="2">
        <v>1124</v>
      </c>
      <c r="M1179">
        <v>0.05</v>
      </c>
      <c r="N1179" s="2">
        <v>723.13</v>
      </c>
      <c r="O1179" s="2">
        <v>7474.6</v>
      </c>
      <c r="P1179" s="2">
        <v>5061.91</v>
      </c>
      <c r="Q1179" s="2">
        <v>2412.69</v>
      </c>
      <c r="R1179">
        <v>0</v>
      </c>
      <c r="S1179" s="2" t="str">
        <f>TEXT(data[[#This Row],[Date]],"mmm yyyy")</f>
        <v>Apr 2024</v>
      </c>
      <c r="T1179" s="8">
        <f>data[[#This Row],[Profit]]/data[[#This Row],[Revenue]]</f>
        <v>0.3227851657613785</v>
      </c>
    </row>
    <row r="1180" spans="1:20" x14ac:dyDescent="0.3">
      <c r="A1180">
        <v>11178</v>
      </c>
      <c r="B1180" t="s">
        <v>93</v>
      </c>
      <c r="C1180" t="s">
        <v>606</v>
      </c>
      <c r="D1180" t="s">
        <v>625</v>
      </c>
      <c r="E1180" t="s">
        <v>626</v>
      </c>
      <c r="F1180" t="s">
        <v>1739</v>
      </c>
      <c r="G1180" t="s">
        <v>1760</v>
      </c>
      <c r="H1180" t="s">
        <v>1769</v>
      </c>
      <c r="I1180" t="s">
        <v>1773</v>
      </c>
      <c r="J1180" t="s">
        <v>1776</v>
      </c>
      <c r="K1180">
        <v>18</v>
      </c>
      <c r="L1180" s="2">
        <v>392</v>
      </c>
      <c r="M1180">
        <v>0.2</v>
      </c>
      <c r="N1180" s="2">
        <v>227.1</v>
      </c>
      <c r="O1180" s="2">
        <v>5644.8</v>
      </c>
      <c r="P1180" s="2">
        <v>4087.8</v>
      </c>
      <c r="Q1180" s="2">
        <v>1557</v>
      </c>
      <c r="R1180">
        <v>0</v>
      </c>
      <c r="S1180" s="2" t="str">
        <f>TEXT(data[[#This Row],[Date]],"mmm yyyy")</f>
        <v>Sep 2024</v>
      </c>
      <c r="T1180" s="8">
        <f>data[[#This Row],[Profit]]/data[[#This Row],[Revenue]]</f>
        <v>0.27582908163265307</v>
      </c>
    </row>
    <row r="1181" spans="1:20" x14ac:dyDescent="0.3">
      <c r="A1181">
        <v>11179</v>
      </c>
      <c r="B1181" t="s">
        <v>339</v>
      </c>
      <c r="C1181" t="s">
        <v>607</v>
      </c>
      <c r="D1181" t="s">
        <v>621</v>
      </c>
      <c r="E1181" t="s">
        <v>628</v>
      </c>
      <c r="F1181" t="s">
        <v>1740</v>
      </c>
      <c r="G1181" t="s">
        <v>1764</v>
      </c>
      <c r="H1181" t="s">
        <v>1771</v>
      </c>
      <c r="I1181" t="s">
        <v>1774</v>
      </c>
      <c r="J1181" t="s">
        <v>1777</v>
      </c>
      <c r="K1181">
        <v>9</v>
      </c>
      <c r="L1181" s="2">
        <v>359</v>
      </c>
      <c r="M1181">
        <v>0.15</v>
      </c>
      <c r="N1181" s="2">
        <v>209.04</v>
      </c>
      <c r="O1181" s="2">
        <v>2746.35</v>
      </c>
      <c r="P1181" s="2">
        <v>1881.36</v>
      </c>
      <c r="Q1181" s="2">
        <v>864.99</v>
      </c>
      <c r="R1181">
        <v>1</v>
      </c>
      <c r="S1181" s="2" t="str">
        <f>TEXT(data[[#This Row],[Date]],"mmm yyyy")</f>
        <v>Aug 2025</v>
      </c>
      <c r="T1181" s="8">
        <f>data[[#This Row],[Profit]]/data[[#This Row],[Revenue]]</f>
        <v>0.31495985580861874</v>
      </c>
    </row>
    <row r="1182" spans="1:20" x14ac:dyDescent="0.3">
      <c r="A1182">
        <v>11180</v>
      </c>
      <c r="B1182" t="s">
        <v>32</v>
      </c>
      <c r="C1182" t="s">
        <v>609</v>
      </c>
      <c r="D1182" t="s">
        <v>613</v>
      </c>
      <c r="E1182" t="s">
        <v>626</v>
      </c>
      <c r="F1182" t="s">
        <v>1741</v>
      </c>
      <c r="G1182" t="s">
        <v>1763</v>
      </c>
      <c r="H1182" t="s">
        <v>1767</v>
      </c>
      <c r="I1182" t="s">
        <v>1773</v>
      </c>
      <c r="J1182" t="s">
        <v>1778</v>
      </c>
      <c r="K1182">
        <v>11</v>
      </c>
      <c r="L1182" s="2">
        <v>218</v>
      </c>
      <c r="M1182">
        <v>0.1</v>
      </c>
      <c r="N1182" s="2">
        <v>124.55</v>
      </c>
      <c r="O1182" s="2">
        <v>2158.1999999999998</v>
      </c>
      <c r="P1182" s="2">
        <v>1370.05</v>
      </c>
      <c r="Q1182" s="2">
        <v>788.15</v>
      </c>
      <c r="R1182">
        <v>0</v>
      </c>
      <c r="S1182" s="2" t="str">
        <f>TEXT(data[[#This Row],[Date]],"mmm yyyy")</f>
        <v>Jan 2024</v>
      </c>
      <c r="T1182" s="8">
        <f>data[[#This Row],[Profit]]/data[[#This Row],[Revenue]]</f>
        <v>0.36518858307849134</v>
      </c>
    </row>
    <row r="1183" spans="1:20" x14ac:dyDescent="0.3">
      <c r="A1183">
        <v>11181</v>
      </c>
      <c r="B1183" t="s">
        <v>115</v>
      </c>
      <c r="C1183" t="s">
        <v>608</v>
      </c>
      <c r="D1183" t="s">
        <v>615</v>
      </c>
      <c r="E1183" t="s">
        <v>628</v>
      </c>
      <c r="F1183" t="s">
        <v>1742</v>
      </c>
      <c r="G1183" t="s">
        <v>1766</v>
      </c>
      <c r="H1183" t="s">
        <v>1772</v>
      </c>
      <c r="I1183" t="s">
        <v>1773</v>
      </c>
      <c r="J1183" t="s">
        <v>1779</v>
      </c>
      <c r="K1183">
        <v>12</v>
      </c>
      <c r="L1183" s="2">
        <v>1121</v>
      </c>
      <c r="M1183">
        <v>0.2</v>
      </c>
      <c r="N1183" s="2">
        <v>808.22</v>
      </c>
      <c r="O1183" s="2">
        <v>10761.6</v>
      </c>
      <c r="P1183" s="2">
        <v>9698.64</v>
      </c>
      <c r="Q1183" s="2">
        <v>1062.96</v>
      </c>
      <c r="R1183">
        <v>0</v>
      </c>
      <c r="S1183" s="2" t="str">
        <f>TEXT(data[[#This Row],[Date]],"mmm yyyy")</f>
        <v>May 2025</v>
      </c>
      <c r="T1183" s="8">
        <f>data[[#This Row],[Profit]]/data[[#This Row],[Revenue]]</f>
        <v>9.8773416592328273E-2</v>
      </c>
    </row>
    <row r="1184" spans="1:20" x14ac:dyDescent="0.3">
      <c r="A1184">
        <v>11182</v>
      </c>
      <c r="B1184" t="s">
        <v>263</v>
      </c>
      <c r="C1184" t="s">
        <v>609</v>
      </c>
      <c r="D1184" t="s">
        <v>622</v>
      </c>
      <c r="E1184" t="s">
        <v>627</v>
      </c>
      <c r="F1184" t="s">
        <v>1743</v>
      </c>
      <c r="G1184" t="s">
        <v>1763</v>
      </c>
      <c r="H1184" t="s">
        <v>1772</v>
      </c>
      <c r="I1184" t="s">
        <v>1773</v>
      </c>
      <c r="J1184" t="s">
        <v>1778</v>
      </c>
      <c r="K1184">
        <v>20</v>
      </c>
      <c r="L1184" s="2">
        <v>1085</v>
      </c>
      <c r="M1184">
        <v>0.15</v>
      </c>
      <c r="N1184" s="2">
        <v>614.66999999999996</v>
      </c>
      <c r="O1184" s="2">
        <v>18445</v>
      </c>
      <c r="P1184" s="2">
        <v>12293.4</v>
      </c>
      <c r="Q1184" s="2">
        <v>6151.6</v>
      </c>
      <c r="R1184">
        <v>0</v>
      </c>
      <c r="S1184" s="2" t="str">
        <f>TEXT(data[[#This Row],[Date]],"mmm yyyy")</f>
        <v>Dec 2024</v>
      </c>
      <c r="T1184" s="8">
        <f>data[[#This Row],[Profit]]/data[[#This Row],[Revenue]]</f>
        <v>0.33351043643263761</v>
      </c>
    </row>
    <row r="1185" spans="1:20" x14ac:dyDescent="0.3">
      <c r="A1185">
        <v>11183</v>
      </c>
      <c r="B1185" t="s">
        <v>295</v>
      </c>
      <c r="C1185" t="s">
        <v>606</v>
      </c>
      <c r="D1185" t="s">
        <v>620</v>
      </c>
      <c r="E1185" t="s">
        <v>629</v>
      </c>
      <c r="F1185" t="s">
        <v>1744</v>
      </c>
      <c r="G1185" t="s">
        <v>1764</v>
      </c>
      <c r="H1185" t="s">
        <v>1772</v>
      </c>
      <c r="I1185" t="s">
        <v>1773</v>
      </c>
      <c r="J1185" t="s">
        <v>1777</v>
      </c>
      <c r="K1185">
        <v>1</v>
      </c>
      <c r="L1185" s="2">
        <v>617</v>
      </c>
      <c r="M1185">
        <v>0.05</v>
      </c>
      <c r="N1185" s="2">
        <v>313.70999999999998</v>
      </c>
      <c r="O1185" s="2">
        <v>586.15</v>
      </c>
      <c r="P1185" s="2">
        <v>313.70999999999998</v>
      </c>
      <c r="Q1185" s="2">
        <v>272.44</v>
      </c>
      <c r="R1185">
        <v>0</v>
      </c>
      <c r="S1185" s="2" t="str">
        <f>TEXT(data[[#This Row],[Date]],"mmm yyyy")</f>
        <v>Nov 2025</v>
      </c>
      <c r="T1185" s="8">
        <f>data[[#This Row],[Profit]]/data[[#This Row],[Revenue]]</f>
        <v>0.46479570075919135</v>
      </c>
    </row>
    <row r="1186" spans="1:20" x14ac:dyDescent="0.3">
      <c r="A1186">
        <v>11184</v>
      </c>
      <c r="B1186" t="s">
        <v>433</v>
      </c>
      <c r="C1186" t="s">
        <v>608</v>
      </c>
      <c r="D1186" t="s">
        <v>614</v>
      </c>
      <c r="E1186" t="s">
        <v>628</v>
      </c>
      <c r="F1186" t="s">
        <v>1745</v>
      </c>
      <c r="G1186" t="s">
        <v>1759</v>
      </c>
      <c r="H1186" t="s">
        <v>1770</v>
      </c>
      <c r="I1186" t="s">
        <v>1774</v>
      </c>
      <c r="J1186" t="s">
        <v>1776</v>
      </c>
      <c r="K1186">
        <v>4</v>
      </c>
      <c r="L1186" s="2">
        <v>811</v>
      </c>
      <c r="M1186">
        <v>0.15</v>
      </c>
      <c r="N1186" s="2">
        <v>452.84</v>
      </c>
      <c r="O1186" s="2">
        <v>2757.4</v>
      </c>
      <c r="P1186" s="2">
        <v>1811.36</v>
      </c>
      <c r="Q1186" s="2">
        <v>946.04</v>
      </c>
      <c r="R1186">
        <v>0</v>
      </c>
      <c r="S1186" s="2" t="str">
        <f>TEXT(data[[#This Row],[Date]],"mmm yyyy")</f>
        <v>Aug 2024</v>
      </c>
      <c r="T1186" s="8">
        <f>data[[#This Row],[Profit]]/data[[#This Row],[Revenue]]</f>
        <v>0.34309131790817432</v>
      </c>
    </row>
    <row r="1187" spans="1:20" x14ac:dyDescent="0.3">
      <c r="A1187">
        <v>11185</v>
      </c>
      <c r="B1187" t="s">
        <v>213</v>
      </c>
      <c r="C1187" t="s">
        <v>609</v>
      </c>
      <c r="D1187" t="s">
        <v>613</v>
      </c>
      <c r="E1187" t="s">
        <v>628</v>
      </c>
      <c r="F1187" t="s">
        <v>1746</v>
      </c>
      <c r="G1187" t="s">
        <v>1760</v>
      </c>
      <c r="H1187" t="s">
        <v>1769</v>
      </c>
      <c r="I1187" t="s">
        <v>1774</v>
      </c>
      <c r="J1187" t="s">
        <v>1779</v>
      </c>
      <c r="K1187">
        <v>8</v>
      </c>
      <c r="L1187" s="2">
        <v>485</v>
      </c>
      <c r="M1187">
        <v>0.05</v>
      </c>
      <c r="N1187" s="2">
        <v>319</v>
      </c>
      <c r="O1187" s="2">
        <v>3686</v>
      </c>
      <c r="P1187" s="2">
        <v>2552</v>
      </c>
      <c r="Q1187" s="2">
        <v>1134</v>
      </c>
      <c r="R1187">
        <v>0</v>
      </c>
      <c r="S1187" s="2" t="str">
        <f>TEXT(data[[#This Row],[Date]],"mmm yyyy")</f>
        <v>Jan 2025</v>
      </c>
      <c r="T1187" s="8">
        <f>data[[#This Row],[Profit]]/data[[#This Row],[Revenue]]</f>
        <v>0.30765056972327726</v>
      </c>
    </row>
    <row r="1188" spans="1:20" x14ac:dyDescent="0.3">
      <c r="A1188">
        <v>11186</v>
      </c>
      <c r="B1188" t="s">
        <v>101</v>
      </c>
      <c r="C1188" t="s">
        <v>606</v>
      </c>
      <c r="D1188" t="s">
        <v>616</v>
      </c>
      <c r="E1188" t="s">
        <v>628</v>
      </c>
      <c r="F1188" t="s">
        <v>1747</v>
      </c>
      <c r="G1188" t="s">
        <v>1762</v>
      </c>
      <c r="H1188" t="s">
        <v>1770</v>
      </c>
      <c r="I1188" t="s">
        <v>1773</v>
      </c>
      <c r="J1188" t="s">
        <v>1777</v>
      </c>
      <c r="K1188">
        <v>14</v>
      </c>
      <c r="L1188" s="2">
        <v>851</v>
      </c>
      <c r="M1188">
        <v>0.05</v>
      </c>
      <c r="N1188" s="2">
        <v>456.6</v>
      </c>
      <c r="O1188" s="2">
        <v>11318.3</v>
      </c>
      <c r="P1188" s="2">
        <v>6392.4</v>
      </c>
      <c r="Q1188" s="2">
        <v>4925.8999999999996</v>
      </c>
      <c r="R1188">
        <v>0</v>
      </c>
      <c r="S1188" s="2" t="str">
        <f>TEXT(data[[#This Row],[Date]],"mmm yyyy")</f>
        <v>Oct 2024</v>
      </c>
      <c r="T1188" s="8">
        <f>data[[#This Row],[Profit]]/data[[#This Row],[Revenue]]</f>
        <v>0.43521553590203477</v>
      </c>
    </row>
    <row r="1189" spans="1:20" x14ac:dyDescent="0.3">
      <c r="A1189">
        <v>11187</v>
      </c>
      <c r="B1189" t="s">
        <v>121</v>
      </c>
      <c r="C1189" t="s">
        <v>608</v>
      </c>
      <c r="D1189" t="s">
        <v>615</v>
      </c>
      <c r="E1189" t="s">
        <v>628</v>
      </c>
      <c r="F1189" t="s">
        <v>1748</v>
      </c>
      <c r="G1189" t="s">
        <v>1762</v>
      </c>
      <c r="H1189" t="s">
        <v>1768</v>
      </c>
      <c r="I1189" t="s">
        <v>1773</v>
      </c>
      <c r="J1189" t="s">
        <v>1776</v>
      </c>
      <c r="K1189">
        <v>12</v>
      </c>
      <c r="L1189" s="2">
        <v>1323</v>
      </c>
      <c r="M1189">
        <v>0.2</v>
      </c>
      <c r="N1189" s="2">
        <v>908.58</v>
      </c>
      <c r="O1189" s="2">
        <v>12700.8</v>
      </c>
      <c r="P1189" s="2">
        <v>10902.96</v>
      </c>
      <c r="Q1189" s="2">
        <v>1797.84</v>
      </c>
      <c r="R1189">
        <v>0</v>
      </c>
      <c r="S1189" s="2" t="str">
        <f>TEXT(data[[#This Row],[Date]],"mmm yyyy")</f>
        <v>Feb 2025</v>
      </c>
      <c r="T1189" s="8">
        <f>data[[#This Row],[Profit]]/data[[#This Row],[Revenue]]</f>
        <v>0.1415532879818594</v>
      </c>
    </row>
    <row r="1190" spans="1:20" x14ac:dyDescent="0.3">
      <c r="A1190">
        <v>11188</v>
      </c>
      <c r="B1190" t="s">
        <v>602</v>
      </c>
      <c r="C1190" t="s">
        <v>609</v>
      </c>
      <c r="D1190" t="s">
        <v>622</v>
      </c>
      <c r="E1190" t="s">
        <v>626</v>
      </c>
      <c r="F1190" t="s">
        <v>1749</v>
      </c>
      <c r="G1190" t="s">
        <v>1765</v>
      </c>
      <c r="H1190" t="s">
        <v>1771</v>
      </c>
      <c r="I1190" t="s">
        <v>1773</v>
      </c>
      <c r="J1190" t="s">
        <v>1779</v>
      </c>
      <c r="K1190">
        <v>6</v>
      </c>
      <c r="L1190" s="2">
        <v>516</v>
      </c>
      <c r="M1190">
        <v>0</v>
      </c>
      <c r="N1190" s="2">
        <v>337.44</v>
      </c>
      <c r="O1190" s="2">
        <v>3096</v>
      </c>
      <c r="P1190" s="2">
        <v>2024.64</v>
      </c>
      <c r="Q1190" s="2">
        <v>1071.3599999999999</v>
      </c>
      <c r="R1190">
        <v>1</v>
      </c>
      <c r="S1190" s="2" t="str">
        <f>TEXT(data[[#This Row],[Date]],"mmm yyyy")</f>
        <v>Dec 2025</v>
      </c>
      <c r="T1190" s="8">
        <f>data[[#This Row],[Profit]]/data[[#This Row],[Revenue]]</f>
        <v>0.34604651162790695</v>
      </c>
    </row>
    <row r="1191" spans="1:20" x14ac:dyDescent="0.3">
      <c r="A1191">
        <v>11189</v>
      </c>
      <c r="B1191" t="s">
        <v>346</v>
      </c>
      <c r="C1191" t="s">
        <v>609</v>
      </c>
      <c r="D1191" t="s">
        <v>623</v>
      </c>
      <c r="E1191" t="s">
        <v>627</v>
      </c>
      <c r="F1191" t="s">
        <v>1750</v>
      </c>
      <c r="G1191" t="s">
        <v>1759</v>
      </c>
      <c r="H1191" t="s">
        <v>1772</v>
      </c>
      <c r="I1191" t="s">
        <v>1775</v>
      </c>
      <c r="J1191" t="s">
        <v>1777</v>
      </c>
      <c r="K1191">
        <v>20</v>
      </c>
      <c r="L1191" s="2">
        <v>1062</v>
      </c>
      <c r="M1191">
        <v>0.05</v>
      </c>
      <c r="N1191" s="2">
        <v>723.49</v>
      </c>
      <c r="O1191" s="2">
        <v>20178</v>
      </c>
      <c r="P1191" s="2">
        <v>14469.8</v>
      </c>
      <c r="Q1191" s="2">
        <v>5708.2</v>
      </c>
      <c r="R1191">
        <v>0</v>
      </c>
      <c r="S1191" s="2" t="str">
        <f>TEXT(data[[#This Row],[Date]],"mmm yyyy")</f>
        <v>Apr 2024</v>
      </c>
      <c r="T1191" s="8">
        <f>data[[#This Row],[Profit]]/data[[#This Row],[Revenue]]</f>
        <v>0.28289225889582714</v>
      </c>
    </row>
    <row r="1192" spans="1:20" x14ac:dyDescent="0.3">
      <c r="A1192">
        <v>11190</v>
      </c>
      <c r="B1192" t="s">
        <v>530</v>
      </c>
      <c r="C1192" t="s">
        <v>606</v>
      </c>
      <c r="D1192" t="s">
        <v>620</v>
      </c>
      <c r="E1192" t="s">
        <v>629</v>
      </c>
      <c r="F1192" t="s">
        <v>1315</v>
      </c>
      <c r="G1192" t="s">
        <v>1765</v>
      </c>
      <c r="H1192" t="s">
        <v>1770</v>
      </c>
      <c r="I1192" t="s">
        <v>1774</v>
      </c>
      <c r="J1192" t="s">
        <v>1777</v>
      </c>
      <c r="K1192">
        <v>4</v>
      </c>
      <c r="L1192" s="2">
        <v>583</v>
      </c>
      <c r="M1192">
        <v>0.2</v>
      </c>
      <c r="N1192" s="2">
        <v>317.2</v>
      </c>
      <c r="O1192" s="2">
        <v>1865.6</v>
      </c>
      <c r="P1192" s="2">
        <v>1268.8</v>
      </c>
      <c r="Q1192" s="2">
        <v>596.79999999999995</v>
      </c>
      <c r="R1192">
        <v>1</v>
      </c>
      <c r="S1192" s="2" t="str">
        <f>TEXT(data[[#This Row],[Date]],"mmm yyyy")</f>
        <v>May 2025</v>
      </c>
      <c r="T1192" s="8">
        <f>data[[#This Row],[Profit]]/data[[#This Row],[Revenue]]</f>
        <v>0.31989708404802741</v>
      </c>
    </row>
    <row r="1193" spans="1:20" x14ac:dyDescent="0.3">
      <c r="A1193">
        <v>11191</v>
      </c>
      <c r="B1193" t="s">
        <v>508</v>
      </c>
      <c r="C1193" t="s">
        <v>609</v>
      </c>
      <c r="D1193" t="s">
        <v>622</v>
      </c>
      <c r="E1193" t="s">
        <v>626</v>
      </c>
      <c r="F1193" t="s">
        <v>1751</v>
      </c>
      <c r="G1193" t="s">
        <v>1763</v>
      </c>
      <c r="H1193" t="s">
        <v>1767</v>
      </c>
      <c r="I1193" t="s">
        <v>1773</v>
      </c>
      <c r="J1193" t="s">
        <v>1776</v>
      </c>
      <c r="K1193">
        <v>1</v>
      </c>
      <c r="L1193" s="2">
        <v>114</v>
      </c>
      <c r="M1193">
        <v>0.05</v>
      </c>
      <c r="N1193" s="2">
        <v>59.71</v>
      </c>
      <c r="O1193" s="2">
        <v>108.3</v>
      </c>
      <c r="P1193" s="2">
        <v>59.71</v>
      </c>
      <c r="Q1193" s="2">
        <v>48.59</v>
      </c>
      <c r="R1193">
        <v>0</v>
      </c>
      <c r="S1193" s="2" t="str">
        <f>TEXT(data[[#This Row],[Date]],"mmm yyyy")</f>
        <v>Dec 2024</v>
      </c>
      <c r="T1193" s="8">
        <f>data[[#This Row],[Profit]]/data[[#This Row],[Revenue]]</f>
        <v>0.44866112650046175</v>
      </c>
    </row>
    <row r="1194" spans="1:20" x14ac:dyDescent="0.3">
      <c r="A1194">
        <v>11192</v>
      </c>
      <c r="B1194" t="s">
        <v>123</v>
      </c>
      <c r="C1194" t="s">
        <v>608</v>
      </c>
      <c r="D1194" t="s">
        <v>615</v>
      </c>
      <c r="E1194" t="s">
        <v>626</v>
      </c>
      <c r="F1194" t="s">
        <v>1752</v>
      </c>
      <c r="G1194" t="s">
        <v>1762</v>
      </c>
      <c r="H1194" t="s">
        <v>1767</v>
      </c>
      <c r="I1194" t="s">
        <v>1774</v>
      </c>
      <c r="J1194" t="s">
        <v>1778</v>
      </c>
      <c r="K1194">
        <v>15</v>
      </c>
      <c r="L1194" s="2">
        <v>169</v>
      </c>
      <c r="M1194">
        <v>0</v>
      </c>
      <c r="N1194" s="2">
        <v>99.47</v>
      </c>
      <c r="O1194" s="2">
        <v>2535</v>
      </c>
      <c r="P1194" s="2">
        <v>1492.05</v>
      </c>
      <c r="Q1194" s="2">
        <v>1042.95</v>
      </c>
      <c r="R1194">
        <v>1</v>
      </c>
      <c r="S1194" s="2" t="str">
        <f>TEXT(data[[#This Row],[Date]],"mmm yyyy")</f>
        <v>Oct 2025</v>
      </c>
      <c r="T1194" s="8">
        <f>data[[#This Row],[Profit]]/data[[#This Row],[Revenue]]</f>
        <v>0.41142011834319531</v>
      </c>
    </row>
    <row r="1195" spans="1:20" x14ac:dyDescent="0.3">
      <c r="A1195">
        <v>11193</v>
      </c>
      <c r="B1195" t="s">
        <v>388</v>
      </c>
      <c r="C1195" t="s">
        <v>606</v>
      </c>
      <c r="D1195" t="s">
        <v>625</v>
      </c>
      <c r="E1195" t="s">
        <v>627</v>
      </c>
      <c r="F1195" t="s">
        <v>1753</v>
      </c>
      <c r="G1195" t="s">
        <v>1765</v>
      </c>
      <c r="H1195" t="s">
        <v>1769</v>
      </c>
      <c r="I1195" t="s">
        <v>1774</v>
      </c>
      <c r="J1195" t="s">
        <v>1777</v>
      </c>
      <c r="K1195">
        <v>8</v>
      </c>
      <c r="L1195" s="2">
        <v>197</v>
      </c>
      <c r="M1195">
        <v>0.1</v>
      </c>
      <c r="N1195" s="2">
        <v>127.31</v>
      </c>
      <c r="O1195" s="2">
        <v>1418.4</v>
      </c>
      <c r="P1195" s="2">
        <v>1018.48</v>
      </c>
      <c r="Q1195" s="2">
        <v>399.92</v>
      </c>
      <c r="R1195">
        <v>1</v>
      </c>
      <c r="S1195" s="2" t="str">
        <f>TEXT(data[[#This Row],[Date]],"mmm yyyy")</f>
        <v>May 2025</v>
      </c>
      <c r="T1195" s="8">
        <f>data[[#This Row],[Profit]]/data[[#This Row],[Revenue]]</f>
        <v>0.28195149464184999</v>
      </c>
    </row>
    <row r="1196" spans="1:20" x14ac:dyDescent="0.3">
      <c r="A1196">
        <v>11194</v>
      </c>
      <c r="B1196" t="s">
        <v>603</v>
      </c>
      <c r="C1196" t="s">
        <v>607</v>
      </c>
      <c r="D1196" t="s">
        <v>611</v>
      </c>
      <c r="E1196" t="s">
        <v>627</v>
      </c>
      <c r="F1196" t="s">
        <v>1754</v>
      </c>
      <c r="G1196" t="s">
        <v>1765</v>
      </c>
      <c r="H1196" t="s">
        <v>1767</v>
      </c>
      <c r="I1196" t="s">
        <v>1773</v>
      </c>
      <c r="J1196" t="s">
        <v>1777</v>
      </c>
      <c r="K1196">
        <v>17</v>
      </c>
      <c r="L1196" s="2">
        <v>167</v>
      </c>
      <c r="M1196">
        <v>0.15</v>
      </c>
      <c r="N1196" s="2">
        <v>115.22</v>
      </c>
      <c r="O1196" s="2">
        <v>2413.15</v>
      </c>
      <c r="P1196" s="2">
        <v>1958.74</v>
      </c>
      <c r="Q1196" s="2">
        <v>454.41</v>
      </c>
      <c r="R1196">
        <v>0</v>
      </c>
      <c r="S1196" s="2" t="str">
        <f>TEXT(data[[#This Row],[Date]],"mmm yyyy")</f>
        <v>May 2024</v>
      </c>
      <c r="T1196" s="8">
        <f>data[[#This Row],[Profit]]/data[[#This Row],[Revenue]]</f>
        <v>0.18830574145825996</v>
      </c>
    </row>
    <row r="1197" spans="1:20" x14ac:dyDescent="0.3">
      <c r="A1197">
        <v>11195</v>
      </c>
      <c r="B1197" t="s">
        <v>604</v>
      </c>
      <c r="C1197" t="s">
        <v>607</v>
      </c>
      <c r="D1197" t="s">
        <v>621</v>
      </c>
      <c r="E1197" t="s">
        <v>629</v>
      </c>
      <c r="F1197" t="s">
        <v>1755</v>
      </c>
      <c r="G1197" t="s">
        <v>1762</v>
      </c>
      <c r="H1197" t="s">
        <v>1769</v>
      </c>
      <c r="I1197" t="s">
        <v>1773</v>
      </c>
      <c r="J1197" t="s">
        <v>1778</v>
      </c>
      <c r="K1197">
        <v>13</v>
      </c>
      <c r="L1197" s="2">
        <v>251</v>
      </c>
      <c r="M1197">
        <v>0.1</v>
      </c>
      <c r="N1197" s="2">
        <v>147.97</v>
      </c>
      <c r="O1197" s="2">
        <v>2936.7</v>
      </c>
      <c r="P1197" s="2">
        <v>1923.61</v>
      </c>
      <c r="Q1197" s="2">
        <v>1013.09</v>
      </c>
      <c r="R1197">
        <v>0</v>
      </c>
      <c r="S1197" s="2" t="str">
        <f>TEXT(data[[#This Row],[Date]],"mmm yyyy")</f>
        <v>Sep 2025</v>
      </c>
      <c r="T1197" s="8">
        <f>data[[#This Row],[Profit]]/data[[#This Row],[Revenue]]</f>
        <v>0.34497565294378046</v>
      </c>
    </row>
    <row r="1198" spans="1:20" x14ac:dyDescent="0.3">
      <c r="A1198">
        <v>11196</v>
      </c>
      <c r="B1198" t="s">
        <v>554</v>
      </c>
      <c r="C1198" t="s">
        <v>607</v>
      </c>
      <c r="D1198" t="s">
        <v>617</v>
      </c>
      <c r="E1198" t="s">
        <v>628</v>
      </c>
      <c r="F1198" t="s">
        <v>1756</v>
      </c>
      <c r="G1198" t="s">
        <v>1763</v>
      </c>
      <c r="H1198" t="s">
        <v>1770</v>
      </c>
      <c r="I1198" t="s">
        <v>1774</v>
      </c>
      <c r="J1198" t="s">
        <v>1777</v>
      </c>
      <c r="K1198">
        <v>10</v>
      </c>
      <c r="L1198" s="2">
        <v>695</v>
      </c>
      <c r="M1198">
        <v>0</v>
      </c>
      <c r="N1198" s="2">
        <v>350.45</v>
      </c>
      <c r="O1198" s="2">
        <v>6950</v>
      </c>
      <c r="P1198" s="2">
        <v>3504.5</v>
      </c>
      <c r="Q1198" s="2">
        <v>3445.5</v>
      </c>
      <c r="R1198">
        <v>1</v>
      </c>
      <c r="S1198" s="2" t="str">
        <f>TEXT(data[[#This Row],[Date]],"mmm yyyy")</f>
        <v>Feb 2024</v>
      </c>
      <c r="T1198" s="8">
        <f>data[[#This Row],[Profit]]/data[[#This Row],[Revenue]]</f>
        <v>0.49575539568345323</v>
      </c>
    </row>
    <row r="1199" spans="1:20" x14ac:dyDescent="0.3">
      <c r="A1199">
        <v>11197</v>
      </c>
      <c r="B1199" t="s">
        <v>128</v>
      </c>
      <c r="C1199" t="s">
        <v>608</v>
      </c>
      <c r="D1199" t="s">
        <v>614</v>
      </c>
      <c r="E1199" t="s">
        <v>627</v>
      </c>
      <c r="F1199" t="s">
        <v>844</v>
      </c>
      <c r="G1199" t="s">
        <v>1763</v>
      </c>
      <c r="H1199" t="s">
        <v>1767</v>
      </c>
      <c r="I1199" t="s">
        <v>1775</v>
      </c>
      <c r="J1199" t="s">
        <v>1778</v>
      </c>
      <c r="K1199">
        <v>15</v>
      </c>
      <c r="L1199" s="2">
        <v>176</v>
      </c>
      <c r="M1199">
        <v>0.05</v>
      </c>
      <c r="N1199" s="2">
        <v>89.15</v>
      </c>
      <c r="O1199" s="2">
        <v>2508</v>
      </c>
      <c r="P1199" s="2">
        <v>1337.25</v>
      </c>
      <c r="Q1199" s="2">
        <v>1170.75</v>
      </c>
      <c r="R1199">
        <v>0</v>
      </c>
      <c r="S1199" s="2" t="str">
        <f>TEXT(data[[#This Row],[Date]],"mmm yyyy")</f>
        <v>Nov 2025</v>
      </c>
      <c r="T1199" s="8">
        <f>data[[#This Row],[Profit]]/data[[#This Row],[Revenue]]</f>
        <v>0.46680622009569378</v>
      </c>
    </row>
    <row r="1200" spans="1:20" x14ac:dyDescent="0.3">
      <c r="A1200">
        <v>11198</v>
      </c>
      <c r="B1200" t="s">
        <v>605</v>
      </c>
      <c r="C1200" t="s">
        <v>609</v>
      </c>
      <c r="D1200" t="s">
        <v>619</v>
      </c>
      <c r="E1200" t="s">
        <v>629</v>
      </c>
      <c r="F1200" t="s">
        <v>1757</v>
      </c>
      <c r="G1200" t="s">
        <v>1763</v>
      </c>
      <c r="H1200" t="s">
        <v>1770</v>
      </c>
      <c r="I1200" t="s">
        <v>1773</v>
      </c>
      <c r="J1200" t="s">
        <v>1777</v>
      </c>
      <c r="K1200">
        <v>7</v>
      </c>
      <c r="L1200" s="2">
        <v>407</v>
      </c>
      <c r="M1200">
        <v>0</v>
      </c>
      <c r="N1200" s="2">
        <v>214.24</v>
      </c>
      <c r="O1200" s="2">
        <v>2849</v>
      </c>
      <c r="P1200" s="2">
        <v>1499.68</v>
      </c>
      <c r="Q1200" s="2">
        <v>1349.32</v>
      </c>
      <c r="R1200">
        <v>0</v>
      </c>
      <c r="S1200" s="2" t="str">
        <f>TEXT(data[[#This Row],[Date]],"mmm yyyy")</f>
        <v>Sep 2025</v>
      </c>
      <c r="T1200" s="8">
        <f>data[[#This Row],[Profit]]/data[[#This Row],[Revenue]]</f>
        <v>0.47361179361179356</v>
      </c>
    </row>
    <row r="1201" spans="1:20" x14ac:dyDescent="0.3">
      <c r="A1201">
        <v>11199</v>
      </c>
      <c r="B1201" t="s">
        <v>553</v>
      </c>
      <c r="C1201" t="s">
        <v>606</v>
      </c>
      <c r="D1201" t="s">
        <v>610</v>
      </c>
      <c r="E1201" t="s">
        <v>628</v>
      </c>
      <c r="F1201" t="s">
        <v>1758</v>
      </c>
      <c r="G1201" t="s">
        <v>1762</v>
      </c>
      <c r="H1201" t="s">
        <v>1770</v>
      </c>
      <c r="I1201" t="s">
        <v>1773</v>
      </c>
      <c r="J1201" t="s">
        <v>1777</v>
      </c>
      <c r="K1201">
        <v>4</v>
      </c>
      <c r="L1201" s="2">
        <v>486</v>
      </c>
      <c r="M1201">
        <v>0.15</v>
      </c>
      <c r="N1201" s="2">
        <v>261.57</v>
      </c>
      <c r="O1201" s="2">
        <v>1652.4</v>
      </c>
      <c r="P1201" s="2">
        <v>1046.28</v>
      </c>
      <c r="Q1201" s="2">
        <v>606.12</v>
      </c>
      <c r="R1201">
        <v>1</v>
      </c>
      <c r="S1201" s="2" t="str">
        <f>TEXT(data[[#This Row],[Date]],"mmm yyyy")</f>
        <v>Mar 2025</v>
      </c>
      <c r="T1201" s="8">
        <f>data[[#This Row],[Profit]]/data[[#This Row],[Revenue]]</f>
        <v>0.36681190994916485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3749-76A1-4890-A1AE-2C7834CAA6DB}">
  <dimension ref="E1:R8"/>
  <sheetViews>
    <sheetView workbookViewId="0">
      <selection activeCell="Q2" sqref="Q2"/>
    </sheetView>
  </sheetViews>
  <sheetFormatPr defaultRowHeight="14.4" x14ac:dyDescent="0.3"/>
  <cols>
    <col min="6" max="6" width="16.88671875" bestFit="1" customWidth="1"/>
    <col min="18" max="18" width="13.6640625" customWidth="1"/>
  </cols>
  <sheetData>
    <row r="1" spans="5:18" x14ac:dyDescent="0.3">
      <c r="E1" t="s">
        <v>1782</v>
      </c>
      <c r="F1" t="s">
        <v>1783</v>
      </c>
      <c r="H1" t="s">
        <v>3</v>
      </c>
      <c r="J1" t="s">
        <v>4</v>
      </c>
      <c r="M1" t="s">
        <v>1784</v>
      </c>
      <c r="O1" t="s">
        <v>1792</v>
      </c>
      <c r="Q1" t="s">
        <v>1794</v>
      </c>
    </row>
    <row r="2" spans="5:18" x14ac:dyDescent="0.3">
      <c r="E2" t="s">
        <v>1780</v>
      </c>
      <c r="F2" t="s">
        <v>1780</v>
      </c>
      <c r="H2" t="s">
        <v>1780</v>
      </c>
      <c r="J2" t="s">
        <v>1780</v>
      </c>
      <c r="M2" t="s">
        <v>1780</v>
      </c>
      <c r="O2" t="s">
        <v>1780</v>
      </c>
      <c r="Q2" t="s">
        <v>1780</v>
      </c>
    </row>
    <row r="3" spans="5:18" x14ac:dyDescent="0.3">
      <c r="E3" t="str" cm="1">
        <f t="array" ref="E3:E6">_xlfn.UNIQUE(data[Country])</f>
        <v>Germany</v>
      </c>
      <c r="F3" t="str" cm="1">
        <f t="array" ref="F3:F6">_xlfn._xlws.SORT(_xlfn.ANCHORARRAY(E3))</f>
        <v>France</v>
      </c>
      <c r="H3" t="str" cm="1">
        <f t="array" ref="H3:H6">_xlfn.UNIQUE(
  _xlfn._xlws.FILTER(data[City],
    IF(Dashboard!C3="All", TRUE, data[Country]=Dashboard!C3)
  )
)</f>
        <v>Toulouse</v>
      </c>
      <c r="J3" t="str" cm="1">
        <f t="array" ref="J3:J6">_xlfn.UNIQUE(
  _xlfn._xlws.FILTER(data[Region],
    (IF(Dashboard!C3="All", TRUE, data[Country]=Dashboard!C3)) *
    (IF(Dashboard!F3="All", TRUE, data[City]=Dashboard!F3))
  )
)</f>
        <v>North</v>
      </c>
      <c r="M3" t="str" cm="1">
        <f t="array" ref="M3:M8">_xlfn.UNIQUE(data[Product])</f>
        <v>Headphones</v>
      </c>
      <c r="O3" t="str" cm="1">
        <f t="array" ref="O3:O5">_xlfn.UNIQUE(data[Sales_Channel])</f>
        <v>Online</v>
      </c>
      <c r="Q3" t="str" cm="1">
        <f t="array" ref="Q3:Q6">_xlfn.UNIQUE(data[Payment_Method])</f>
        <v>Credit Card</v>
      </c>
    </row>
    <row r="4" spans="5:18" x14ac:dyDescent="0.3">
      <c r="E4" t="str">
        <v>France</v>
      </c>
      <c r="F4" t="str">
        <v>Germany</v>
      </c>
      <c r="H4" t="str">
        <v>Marseille</v>
      </c>
      <c r="J4" t="str">
        <v>West</v>
      </c>
      <c r="M4" t="str">
        <v>Laptop</v>
      </c>
      <c r="O4" t="str">
        <v>Partner</v>
      </c>
      <c r="Q4" t="str">
        <v>Debit Card</v>
      </c>
    </row>
    <row r="5" spans="5:18" x14ac:dyDescent="0.3">
      <c r="E5" t="str">
        <v>Ireland</v>
      </c>
      <c r="F5" t="str">
        <v>Ireland</v>
      </c>
      <c r="H5" t="str">
        <v>Lyon</v>
      </c>
      <c r="J5" t="str">
        <v>South</v>
      </c>
      <c r="M5" t="str">
        <v>Smartwatch</v>
      </c>
      <c r="O5" t="str">
        <v>Retail Store</v>
      </c>
      <c r="Q5" t="str">
        <v>PayPal</v>
      </c>
    </row>
    <row r="6" spans="5:18" x14ac:dyDescent="0.3">
      <c r="E6" t="str">
        <v>UK</v>
      </c>
      <c r="F6" t="str">
        <v>UK</v>
      </c>
      <c r="H6" t="str">
        <v>Paris</v>
      </c>
      <c r="J6" t="str">
        <v>East</v>
      </c>
      <c r="M6" t="str">
        <v>Camera</v>
      </c>
      <c r="Q6" t="str">
        <v>Bank Transfer</v>
      </c>
    </row>
    <row r="7" spans="5:18" x14ac:dyDescent="0.3">
      <c r="M7" t="str">
        <v>Tablet</v>
      </c>
    </row>
    <row r="8" spans="5:18" x14ac:dyDescent="0.3">
      <c r="M8" t="str">
        <v>Smartphone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05B5-E3CA-4080-9DFB-8917814B84EA}">
  <dimension ref="A1:K5"/>
  <sheetViews>
    <sheetView zoomScale="86" workbookViewId="0">
      <selection activeCell="N16" sqref="N16"/>
    </sheetView>
  </sheetViews>
  <sheetFormatPr defaultRowHeight="14.4" x14ac:dyDescent="0.3"/>
  <cols>
    <col min="4" max="4" width="11.88671875" bestFit="1" customWidth="1"/>
    <col min="5" max="5" width="12.21875" customWidth="1"/>
    <col min="7" max="7" width="21" bestFit="1" customWidth="1"/>
    <col min="11" max="11" width="8.21875" bestFit="1" customWidth="1"/>
  </cols>
  <sheetData>
    <row r="1" spans="1:11" x14ac:dyDescent="0.3">
      <c r="A1" t="s">
        <v>1789</v>
      </c>
      <c r="B1" t="s">
        <v>14</v>
      </c>
      <c r="D1" t="s">
        <v>1790</v>
      </c>
      <c r="E1" t="s">
        <v>14</v>
      </c>
      <c r="G1" t="s">
        <v>1797</v>
      </c>
      <c r="H1" t="s">
        <v>14</v>
      </c>
      <c r="J1" t="s">
        <v>1789</v>
      </c>
      <c r="K1" t="s">
        <v>1800</v>
      </c>
    </row>
    <row r="2" spans="1:11" x14ac:dyDescent="0.3">
      <c r="A2" t="str" cm="1">
        <f t="array" ref="A2:A5">IF(country="All",
_xlfn.UNIQUE(data[Country]),
IF(city="All",
_xlfn.UNIQUE(_xlfn._xlws.FILTER(data[City],data[Country]=country)),
_xlfn.UNIQUE(_xlfn._xlws.FILTER(data[Region],(data[Country]=country)*(data[City]=city)))
)
)</f>
        <v>Toulouse</v>
      </c>
      <c r="B2">
        <f>IF(country="All",
     SUMIF(data[Country], A2, data[Revenue]),
     IF(city="All",
        SUMIFS(data[Revenue], data[Country], country, data[City], A2),
        SUMIFS(data[Revenue],
               data[Country], country,
               data[City], city,
               data[Region], A2)
     )
)</f>
        <v>384490.19999999995</v>
      </c>
      <c r="D2" t="s">
        <v>1773</v>
      </c>
      <c r="E2" cm="1">
        <f t="array" ref="E2">SUM(
  _xlfn._xlws.FILTER(
    data[Revenue],
    (data[Sales_Channel]=D2) *
    (IF(country="All", TRUE, data[Country]=country)) *
    (IF(city="All", TRUE, data[City]=city)) *
    (IF(region="All", TRUE, data[Region]=region)) *
    (IF(product="All", TRUE, data[Product]=product))
  )
)</f>
        <v>20028.750000000004</v>
      </c>
      <c r="G2" t="s">
        <v>1773</v>
      </c>
      <c r="H2">
        <f>E2</f>
        <v>20028.750000000004</v>
      </c>
      <c r="J2" t="str" cm="1">
        <f t="array" ref="J2:J5">IF(country="All",
     _xlfn.UNIQUE(data[Country]),
     IF(city="All",
        _xlfn.UNIQUE(_xlfn._xlws.FILTER(data[City], data[Country]=country)),
        _xlfn.UNIQUE(_xlfn._xlws.FILTER(data[Region], (data[Country]=country)*(data[City]=city)))
     )
)</f>
        <v>Toulouse</v>
      </c>
      <c r="K2" s="7" cm="1">
        <f t="array" ref="K2">IFERROR(
  AVERAGE(
    _xlfn._xlws.FILTER(
      data[Gross Profit Margin],
      (IF(country="All", TRUE, data[Country]=country)) *
      (IF(city="All", TRUE, data[City]=city)) *
      (IF(region="All", TRUE, data[Region]=region)) *
      (IF(product="All", TRUE, data[Product]=product)) *
      (IF(channel="All", TRUE, data[Sales_Channel]=channel)) *
      (IF(payment="All", TRUE, data[Payment_Method]=payment)) *
      (J2=
        IF(country="All", data[Country],
          IF(city="All", data[City], data[Region])
        )
      )
    )
  ),
0)</f>
        <v>0.30010735841363539</v>
      </c>
    </row>
    <row r="3" spans="1:11" x14ac:dyDescent="0.3">
      <c r="A3" t="str">
        <v>Marseille</v>
      </c>
      <c r="B3">
        <f>IF(country="All",
     SUMIF(data[Country], A3, data[Revenue]),
     IF(city="All",
        SUMIFS(data[Revenue], data[Country], country, data[City], A3),
        SUMIFS(data[Revenue],
               data[Country], country,
               data[City], city,
               data[Region], A3)
     )
)</f>
        <v>352866.09999999986</v>
      </c>
      <c r="D3" t="s">
        <v>1774</v>
      </c>
      <c r="E3" cm="1">
        <f t="array" ref="E3">SUM(
  _xlfn._xlws.FILTER(
    data[Revenue],
    (data[Sales_Channel]=D3) *
    (IF(country="All", TRUE, data[Country]=country)) *
    (IF(city="All", TRUE, data[City]=city)) *
    (IF(region="All", TRUE, data[Region]=region)) *
    (IF(product="All", TRUE, data[Product]=product))
  )
)</f>
        <v>29194.400000000001</v>
      </c>
      <c r="G3" t="s">
        <v>1791</v>
      </c>
      <c r="H3">
        <f>SUM(E3:E4)</f>
        <v>45724.15</v>
      </c>
      <c r="J3" t="str">
        <v>Marseille</v>
      </c>
      <c r="K3" s="7" cm="1">
        <f t="array" ref="K3">IFERROR(
  AVERAGE(
    _xlfn._xlws.FILTER(
      data[Gross Profit Margin],
      (IF(country="All", TRUE, data[Country]=country)) *
      (IF(city="All", TRUE, data[City]=city)) *
      (IF(region="All", TRUE, data[Region]=region)) *
      (IF(product="All", TRUE, data[Product]=product)) *
      (IF(channel="All", TRUE, data[Sales_Channel]=channel)) *
      (IF(payment="All", TRUE, data[Payment_Method]=payment)) *
      (J3=
        IF(country="All", data[Country],
          IF(city="All", data[City], data[Region])
        )
      )
    )
  ),
0)</f>
        <v>0.30262813432391567</v>
      </c>
    </row>
    <row r="4" spans="1:11" x14ac:dyDescent="0.3">
      <c r="A4" t="str">
        <v>Lyon</v>
      </c>
      <c r="B4">
        <f>IF(country="All",
     SUMIF(data[Country], A4, data[Revenue]),
     IF(city="All",
        SUMIFS(data[Revenue], data[Country], country, data[City], A4),
        SUMIFS(data[Revenue],
               data[Country], country,
               data[City], city,
               data[Region], A4)
     )
)</f>
        <v>453671.85</v>
      </c>
      <c r="D4" t="s">
        <v>1775</v>
      </c>
      <c r="E4" cm="1">
        <f t="array" ref="E4">SUM(
  _xlfn._xlws.FILTER(
    data[Revenue],
    (data[Sales_Channel]=D4) *
    (IF(country="All", TRUE, data[Country]=country)) *
    (IF(city="All", TRUE, data[City]=city)) *
    (IF(region="All", TRUE, data[Region]=region)) *
    (IF(product="All", TRUE, data[Product]=product))
  )
)</f>
        <v>16529.75</v>
      </c>
      <c r="J4" t="str">
        <v>Lyon</v>
      </c>
      <c r="K4" s="7" cm="1">
        <f t="array" ref="K4">IFERROR(
  AVERAGE(
    _xlfn._xlws.FILTER(
      data[Gross Profit Margin],
      (IF(country="All", TRUE, data[Country]=country)) *
      (IF(city="All", TRUE, data[City]=city)) *
      (IF(region="All", TRUE, data[Region]=region)) *
      (IF(product="All", TRUE, data[Product]=product)) *
      (IF(channel="All", TRUE, data[Sales_Channel]=channel)) *
      (IF(payment="All", TRUE, data[Payment_Method]=payment)) *
      (J4=
        IF(country="All", data[Country],
          IF(city="All", data[City], data[Region])
        )
      )
    )
  ),
0)</f>
        <v>0.30698316200686349</v>
      </c>
    </row>
    <row r="5" spans="1:11" x14ac:dyDescent="0.3">
      <c r="A5" t="str">
        <v>Paris</v>
      </c>
      <c r="B5">
        <f>IF(country="All",
     SUMIF(data[Country], A5, data[Revenue]),
     IF(city="All",
        SUMIFS(data[Revenue], data[Country], country, data[City], A5),
        SUMIFS(data[Revenue],
               data[Country], country,
               data[City], city,
               data[Region], A5)
     )
)</f>
        <v>392870.75</v>
      </c>
      <c r="J5" t="str">
        <v>Paris</v>
      </c>
      <c r="K5" s="7" cm="1">
        <f t="array" ref="K5">IFERROR(
  AVERAGE(
    _xlfn._xlws.FILTER(
      data[Gross Profit Margin],
      (IF(country="All", TRUE, data[Country]=country)) *
      (IF(city="All", TRUE, data[City]=city)) *
      (IF(region="All", TRUE, data[Region]=region)) *
      (IF(product="All", TRUE, data[Product]=product)) *
      (IF(channel="All", TRUE, data[Sales_Channel]=channel)) *
      (IF(payment="All", TRUE, data[Payment_Method]=payment)) *
      (J5=
        IF(country="All", data[Country],
          IF(city="All", data[City], data[Region])
        )
      )
    )
  ),
0)</f>
        <v>0.30531780312354684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Dashboard</vt:lpstr>
      <vt:lpstr>Data</vt:lpstr>
      <vt:lpstr>Data Validation</vt:lpstr>
      <vt:lpstr>Chart Helper</vt:lpstr>
      <vt:lpstr>channel</vt:lpstr>
      <vt:lpstr>city</vt:lpstr>
      <vt:lpstr>country</vt:lpstr>
      <vt:lpstr>payment</vt:lpstr>
      <vt:lpstr>product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Golan Fernandes</cp:lastModifiedBy>
  <dcterms:created xsi:type="dcterms:W3CDTF">2026-04-05T10:10:03Z</dcterms:created>
  <dcterms:modified xsi:type="dcterms:W3CDTF">2026-04-19T15:44:45Z</dcterms:modified>
</cp:coreProperties>
</file>